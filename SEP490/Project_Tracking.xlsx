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Q&amp;A" sheetId="2" r:id="rId6"/>
    <sheet state="visible" name="Issues" sheetId="3" r:id="rId7"/>
    <sheet state="visible" name="Defects" sheetId="4" r:id="rId8"/>
    <sheet state="visible" name="Link Figm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ID#AAACHpETzrc
kiennt    (2026-09-27 07:51:11)
Estimated for Coding &amp; Unit-Testing Effort, in man-days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ID#AAACHpETzrY
None    (2026-09-27 07:51:11)
Name of screen, function or the document section</t>
      </text>
    </comment>
  </commentList>
</comments>
</file>

<file path=xl/sharedStrings.xml><?xml version="1.0" encoding="utf-8"?>
<sst xmlns="http://schemas.openxmlformats.org/spreadsheetml/2006/main" count="625" uniqueCount="226">
  <si>
    <t>Date</t>
  </si>
  <si>
    <t>Defect Description</t>
  </si>
  <si>
    <t>Issue</t>
  </si>
  <si>
    <t>Activity</t>
  </si>
  <si>
    <t>Priority</t>
  </si>
  <si>
    <t>Product</t>
  </si>
  <si>
    <t>Created</t>
  </si>
  <si>
    <t>Owner</t>
  </si>
  <si>
    <t>Due Date</t>
  </si>
  <si>
    <t>Status</t>
  </si>
  <si>
    <t>Product Details</t>
  </si>
  <si>
    <t>Notes</t>
  </si>
  <si>
    <t>Assigner</t>
  </si>
  <si>
    <t>Question</t>
  </si>
  <si>
    <t>Assignee</t>
  </si>
  <si>
    <t>By</t>
  </si>
  <si>
    <t>Updated</t>
  </si>
  <si>
    <t>Note (answer, other notes)</t>
  </si>
  <si>
    <t>KienNT</t>
  </si>
  <si>
    <t>Medium</t>
  </si>
  <si>
    <t>Review</t>
  </si>
  <si>
    <t>Open</t>
  </si>
  <si>
    <t>Software Package</t>
  </si>
  <si>
    <t>Pending</t>
  </si>
  <si>
    <t>HuyNMG</t>
  </si>
  <si>
    <t>Report1 (Intro)</t>
  </si>
  <si>
    <t>Report4 (SDS)</t>
  </si>
  <si>
    <t>HuyNG</t>
  </si>
  <si>
    <t>Report5 (Test)</t>
  </si>
  <si>
    <t>Report6 (Guides)</t>
  </si>
  <si>
    <t>DucBH</t>
  </si>
  <si>
    <t>HuyLQ</t>
  </si>
  <si>
    <t>Software/System</t>
  </si>
  <si>
    <t>Function/Screen</t>
  </si>
  <si>
    <t>Feature</t>
  </si>
  <si>
    <t>Sub Feature</t>
  </si>
  <si>
    <t>Type</t>
  </si>
  <si>
    <t>Function/Screen Description</t>
  </si>
  <si>
    <t>Level*</t>
  </si>
  <si>
    <t>Requirement</t>
  </si>
  <si>
    <t>Design</t>
  </si>
  <si>
    <t>Coding</t>
  </si>
  <si>
    <t>Test</t>
  </si>
  <si>
    <t>Deploy</t>
  </si>
  <si>
    <t>Planned</t>
  </si>
  <si>
    <t>SRS</t>
  </si>
  <si>
    <t>In-Charge</t>
  </si>
  <si>
    <t>Deadline</t>
  </si>
  <si>
    <t>IT Case</t>
  </si>
  <si>
    <t>Author</t>
  </si>
  <si>
    <t>User Registration Screen</t>
  </si>
  <si>
    <t>Authentication</t>
  </si>
  <si>
    <t>UC-AUTH-01</t>
  </si>
  <si>
    <t>Screen</t>
  </si>
  <si>
    <t>Register Consumer or Farmer Account</t>
  </si>
  <si>
    <t>Simple</t>
  </si>
  <si>
    <t>Iteration 1</t>
  </si>
  <si>
    <t>Done</t>
  </si>
  <si>
    <t>To Do</t>
  </si>
  <si>
    <t>Dự</t>
  </si>
  <si>
    <t>Profile &amp; Farm Management Screen</t>
  </si>
  <si>
    <t>UC-AUTH-03</t>
  </si>
  <si>
    <t>Complete and Manage Profile</t>
  </si>
  <si>
    <t>Sign In Screen</t>
  </si>
  <si>
    <t>UC-AUTH-04</t>
  </si>
  <si>
    <t>Log In</t>
  </si>
  <si>
    <t>Tú</t>
  </si>
  <si>
    <t>Logout Handler</t>
  </si>
  <si>
    <t>UC-AUTH-05</t>
  </si>
  <si>
    <t>Function</t>
  </si>
  <si>
    <t>Log Out</t>
  </si>
  <si>
    <t>Change Password Screen</t>
  </si>
  <si>
    <t>UC-AUTH-06</t>
  </si>
  <si>
    <t>Change Password</t>
  </si>
  <si>
    <t>Link</t>
  </si>
  <si>
    <t>Huy</t>
  </si>
  <si>
    <t>https://www.figma.com/design/ABXdExXjO6M0Uqnl4tHyXJ/AgriSustain-Admin-Screens?node-id=0-1&amp;t=oRZa3LDhso9tWRUD-1</t>
  </si>
  <si>
    <t>Thương</t>
  </si>
  <si>
    <t>https://www.figma.com/design/EVk5i6ZzmwX7tikcTi05sw/screen?node-id=29-7650&amp;t=tr3qeb06rr5suVQj-1</t>
  </si>
  <si>
    <t>Agricultural Marketplace Screen</t>
  </si>
  <si>
    <t>Marketplace</t>
  </si>
  <si>
    <t>UC-MKT-01</t>
  </si>
  <si>
    <t>https://www.figma.com/design/M28blDo8ph8UMo9C2to7iC/Untitled?node-id=0-1&amp;p=f&amp;t=UBTtqq3G8H4mBcGb-0</t>
  </si>
  <si>
    <t>Browse and Search Marketplace</t>
  </si>
  <si>
    <t>Xum</t>
  </si>
  <si>
    <t>https://www.figma.com/design/dcOyyhs3r2mjcYPKU4VnLh/Untitled?node-id=2-580&amp;t=Be1a5OJyrasLeR5h-1</t>
  </si>
  <si>
    <t>Product Detail &amp; Batches Screen</t>
  </si>
  <si>
    <t>UC-MKT-02</t>
  </si>
  <si>
    <t>View Product Detail</t>
  </si>
  <si>
    <t>Farmer Product Management Screen</t>
  </si>
  <si>
    <t>Product Management</t>
  </si>
  <si>
    <t>UC-FAR-03</t>
  </si>
  <si>
    <t>Manage Product Listing</t>
  </si>
  <si>
    <t>Lò Mạnh Xum</t>
  </si>
  <si>
    <t>User Management Screen</t>
  </si>
  <si>
    <t>Administration</t>
  </si>
  <si>
    <t>UC-ADM-03</t>
  </si>
  <si>
    <t>Manage User Account Status</t>
  </si>
  <si>
    <t>Product Categories Management Screen</t>
  </si>
  <si>
    <t>UC-ADM-05</t>
  </si>
  <si>
    <t>Manage Product Categories</t>
  </si>
  <si>
    <t>Shopping Cart Screen</t>
  </si>
  <si>
    <t>Consumer Ordering</t>
  </si>
  <si>
    <t>UC-CON-01</t>
  </si>
  <si>
    <t>Manage Shopping Cart</t>
  </si>
  <si>
    <t>Retail Checkout Screen</t>
  </si>
  <si>
    <t>UC-CON-02</t>
  </si>
  <si>
    <t>Checkout and Place Retail Order</t>
  </si>
  <si>
    <t>Complex</t>
  </si>
  <si>
    <t>Order Tracking &amp; History Screen</t>
  </si>
  <si>
    <t>UC-CON-04</t>
  </si>
  <si>
    <t>Track Retail Order</t>
  </si>
  <si>
    <t>Farmer Order Fulfillment Screen</t>
  </si>
  <si>
    <t>Farmer Sales</t>
  </si>
  <si>
    <t>UC-FAR-06</t>
  </si>
  <si>
    <t>Process Order</t>
  </si>
  <si>
    <t>Product Listing Moderation Screen</t>
  </si>
  <si>
    <t>UC-ADM-04</t>
  </si>
  <si>
    <t>Moderate Product Listing</t>
  </si>
  <si>
    <t>Forgot &amp; Reset Password Screen</t>
  </si>
  <si>
    <t>UC-AUTH-07</t>
  </si>
  <si>
    <t>Reset Password</t>
  </si>
  <si>
    <t>Iteration 2</t>
  </si>
  <si>
    <t>Product Origin &amp; Farming Log Screen</t>
  </si>
  <si>
    <t>Traceability</t>
  </si>
  <si>
    <t>UC-TRC-01</t>
  </si>
  <si>
    <t>View Product Traceability</t>
  </si>
  <si>
    <t>Crop Season Management Screen</t>
  </si>
  <si>
    <t>Farm Management</t>
  </si>
  <si>
    <t>UC-FAR-01</t>
  </si>
  <si>
    <t>Manage Farm and Crop Seasons</t>
  </si>
  <si>
    <t>Digital Field Log Screen</t>
  </si>
  <si>
    <t>UC-FAR-02</t>
  </si>
  <si>
    <t>Record E-Farming Logs</t>
  </si>
  <si>
    <t>Batch &amp; Traceability QR Generator Screen</t>
  </si>
  <si>
    <t>Product Traceability</t>
  </si>
  <si>
    <t>UC-FAR-04</t>
  </si>
  <si>
    <t>Manage Product Batch and Traceability</t>
  </si>
  <si>
    <t>Seller &amp; Buyer KYC Review Screen</t>
  </si>
  <si>
    <t>UC-ADM-02</t>
  </si>
  <si>
    <t>Approve or Reject KYC Account</t>
  </si>
  <si>
    <t>Doing</t>
  </si>
  <si>
    <t>QR Payment &amp; Transfer Screen</t>
  </si>
  <si>
    <t>Consumer Payment</t>
  </si>
  <si>
    <t>UC-CON-03</t>
  </si>
  <si>
    <t>Pay Retail Order by VietQR or PayOS</t>
  </si>
  <si>
    <t>Product Review Modal</t>
  </si>
  <si>
    <t>Consumer Engagement</t>
  </si>
  <si>
    <t>UC-CON-05</t>
  </si>
  <si>
    <t>Submit Product Review</t>
  </si>
  <si>
    <t>Order Dispute &amp; Complaint Screen</t>
  </si>
  <si>
    <t>UC-CON-06</t>
  </si>
  <si>
    <t>Submit Order Complaint</t>
  </si>
  <si>
    <t>Complaint Arbitration &amp; Refund Screen</t>
  </si>
  <si>
    <t>UC-ADM-06</t>
  </si>
  <si>
    <t>Resolve Complaint</t>
  </si>
  <si>
    <t>Review Moderation Screen</t>
  </si>
  <si>
    <t>UC-ADM-08</t>
  </si>
  <si>
    <t>Moderate Product Review</t>
  </si>
  <si>
    <t>Certification Verification Dossier Screen</t>
  </si>
  <si>
    <t>Certification</t>
  </si>
  <si>
    <t>UC-FAR-07</t>
  </si>
  <si>
    <t>Submit Certificate Dossier</t>
  </si>
  <si>
    <t>Platform Promotion &amp; Voucher Screen</t>
  </si>
  <si>
    <t>UC-ADM-07</t>
  </si>
  <si>
    <t>Manage Promotions and Vouchers</t>
  </si>
  <si>
    <t>B2B Registration Screen</t>
  </si>
  <si>
    <t>UC-AUTH-02</t>
  </si>
  <si>
    <t>Register Buyer B2B Account</t>
  </si>
  <si>
    <t>Iteration 3</t>
  </si>
  <si>
    <t>Admin Master Dashboard Screen</t>
  </si>
  <si>
    <t>UC-ADM-01</t>
  </si>
  <si>
    <t>View Platform Dashboard and Pending Work</t>
  </si>
  <si>
    <t>B2B Supplier Directory Screen</t>
  </si>
  <si>
    <t>B2B Procurement</t>
  </si>
  <si>
    <t>UC-B2B-01</t>
  </si>
  <si>
    <t>Search Suppliers and Production Regions</t>
  </si>
  <si>
    <t>Farm Capacity &amp; Credibility Screen</t>
  </si>
  <si>
    <t>UC-B2B-02</t>
  </si>
  <si>
    <t>View Supplier Capacity Profile</t>
  </si>
  <si>
    <t>Wholesale Order Creation Screen</t>
  </si>
  <si>
    <t>UC-B2B-03</t>
  </si>
  <si>
    <t>Create Wholesale Order</t>
  </si>
  <si>
    <t>Seasonal Pre-Order Setup Screen</t>
  </si>
  <si>
    <t>UC-B2B-04</t>
  </si>
  <si>
    <t>Create Pre-Order Commitment</t>
  </si>
  <si>
    <t>Pre-Order Campaign Management Screen</t>
  </si>
  <si>
    <t>UC-FAR-05</t>
  </si>
  <si>
    <t>Manage Pre-Order Campaign</t>
  </si>
  <si>
    <t>Offtake Contract Drafting Screen</t>
  </si>
  <si>
    <t>B2B Contract Management</t>
  </si>
  <si>
    <t>UC-B2B-05</t>
  </si>
  <si>
    <t>Create Offtake Contract Proposal</t>
  </si>
  <si>
    <t>Digital Contract Signing Screen</t>
  </si>
  <si>
    <t>UC-B2B-06</t>
  </si>
  <si>
    <t>Sign Offtake Contract</t>
  </si>
  <si>
    <t>B2B Contract Milestone Tracking Screen</t>
  </si>
  <si>
    <t>UC-B2B-07</t>
  </si>
  <si>
    <t>Track B2B Order and Contract Progress</t>
  </si>
  <si>
    <t>B2B Membership Plans Screen</t>
  </si>
  <si>
    <t>B2B Membership</t>
  </si>
  <si>
    <t>UC-B2B-08</t>
  </si>
  <si>
    <t>Manage Buyer Subscription</t>
  </si>
  <si>
    <t>Farmer Offtake Contracts Screen</t>
  </si>
  <si>
    <t>UC-FAR-08</t>
  </si>
  <si>
    <t>Manage Offtake Contract</t>
  </si>
  <si>
    <t>Farmer Revenue &amp; Analytics Screen</t>
  </si>
  <si>
    <t>Farmer Analytics</t>
  </si>
  <si>
    <t>UC-FAR-09</t>
  </si>
  <si>
    <t>View Revenue and Cash-Flow Dashboard</t>
  </si>
  <si>
    <t>B2B Subscription Tiers Screen</t>
  </si>
  <si>
    <t>UC-ADM-09</t>
  </si>
  <si>
    <t>Manage Subscription Tiers</t>
  </si>
  <si>
    <t>(*) You can rate the functions' complexity level based on the number of fields on the screens or the number of transactions in the function, with the details as below</t>
  </si>
  <si>
    <t>&lt;=7 fields</t>
  </si>
  <si>
    <t>&lt;=3 transactions</t>
  </si>
  <si>
    <t>&lt;=15 fields</t>
  </si>
  <si>
    <t>&lt;= 7 transactions</t>
  </si>
  <si>
    <t>Functions</t>
  </si>
  <si>
    <t>Total PDS</t>
  </si>
  <si>
    <t>&gt;15 fields</t>
  </si>
  <si>
    <t>&gt; 7 transactions</t>
  </si>
  <si>
    <t>In which:</t>
  </si>
  <si>
    <t>fields: screen components or database table fields</t>
  </si>
  <si>
    <t>transactions can be counted actioning UI components, user or database access transactions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</si>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</sst>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Arial"/>
    </font>
    <font>
      <sz val="10.0"/>
      <color rgb="FF000000"/>
      <name val="Calibri"/>
    </font>
    <font>
      <b/>
      <sz val="10.0"/>
      <color rgb="FF1F1F1F"/>
      <name val="Arial"/>
    </font>
    <font>
      <b/>
      <sz val="10.0"/>
      <color rgb="FF000000"/>
      <name val="Arial"/>
    </font>
    <font>
      <i/>
      <sz val="11.0"/>
      <color rgb="FF5959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EE1CC"/>
        <bgColor rgb="FFFEE1CC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8FF"/>
        <bgColor rgb="FFD9E8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</border>
    <border>
      <left style="thin">
        <color rgb="FF5F5F5F"/>
      </left>
      <top style="thin">
        <color rgb="FF5F5F5F"/>
      </top>
      <bottom style="thin">
        <color rgb="FF5F5F5F"/>
      </bottom>
    </border>
    <border>
      <left/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1" fillId="0" fontId="3" numFmtId="16" xfId="0" applyBorder="1" applyFont="1" applyNumberFormat="1"/>
    <xf borderId="1" fillId="0" fontId="4" numFmtId="16" xfId="0" applyAlignment="1" applyBorder="1" applyFont="1" applyNumberFormat="1">
      <alignment horizontal="left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left" shrinkToFit="0" vertical="top" wrapText="1"/>
    </xf>
    <xf borderId="1" fillId="0" fontId="4" numFmtId="16" xfId="0" applyAlignment="1" applyBorder="1" applyFont="1" applyNumberFormat="1">
      <alignment horizontal="left" vertical="top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vertical="top"/>
    </xf>
    <xf borderId="0" fillId="0" fontId="2" numFmtId="0" xfId="0" applyFon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/>
    </xf>
    <xf borderId="2" fillId="3" fontId="3" numFmtId="0" xfId="0" applyAlignment="1" applyBorder="1" applyFill="1" applyFont="1">
      <alignment horizontal="left" shrinkToFit="0" vertical="center" wrapText="1"/>
    </xf>
    <xf borderId="2" fillId="3" fontId="3" numFmtId="164" xfId="0" applyAlignment="1" applyBorder="1" applyFill="1" applyFont="1" applyNumberFormat="1">
      <alignment shrinkToFit="0" vertical="center" wrapText="1"/>
    </xf>
    <xf borderId="1" fillId="3" fontId="3" numFmtId="164" xfId="0" applyAlignment="1" applyBorder="1" applyFill="1" applyFont="1" applyNumberFormat="1">
      <alignment shrinkToFit="0" vertical="center" wrapText="0"/>
    </xf>
    <xf borderId="1" fillId="3" fontId="5" numFmtId="0" xfId="0" applyAlignment="1" applyBorder="1" applyFill="1" applyFont="1">
      <alignment horizontal="left" shrinkToFit="0" vertical="top" wrapText="0"/>
    </xf>
    <xf borderId="2" fillId="4" fontId="3" numFmtId="0" xfId="0" applyAlignment="1" applyBorder="1" applyFill="1" applyFont="1">
      <alignment readingOrder="0" shrinkToFit="0" vertical="center" wrapText="1"/>
    </xf>
    <xf borderId="1" fillId="3" fontId="5" numFmtId="0" xfId="0" applyAlignment="1" applyBorder="1" applyFill="1" applyFont="1">
      <alignment horizontal="left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1" fillId="4" fontId="3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horizontal="left" shrinkToFit="0" vertical="center" wrapText="0"/>
    </xf>
    <xf borderId="0" fillId="5" fontId="6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6" fontId="8" numFmtId="0" xfId="0" applyAlignment="1" applyFill="1" applyFont="1">
      <alignment readingOrder="0"/>
    </xf>
    <xf borderId="0" fillId="6" fontId="6" numFmtId="0" xfId="0" applyFill="1" applyFont="1"/>
    <xf borderId="1" fillId="3" fontId="5" numFmtId="164" xfId="0" applyAlignment="1" applyBorder="1" applyFill="1" applyFont="1" applyNumberFormat="1">
      <alignment shrinkToFit="0" vertical="center" wrapText="0"/>
    </xf>
    <xf borderId="3" fillId="3" fontId="3" numFmtId="164" xfId="0" applyAlignment="1" applyBorder="1" applyFill="1" applyFont="1" applyNumberFormat="1">
      <alignment shrinkToFit="0" vertical="center" wrapText="1"/>
    </xf>
    <xf borderId="2" fillId="6" fontId="3" numFmtId="0" xfId="0" applyAlignment="1" applyBorder="1" applyFill="1" applyFont="1">
      <alignment horizontal="left" shrinkToFit="0" vertical="center" wrapText="1"/>
    </xf>
    <xf borderId="2" fillId="6" fontId="3" numFmtId="164" xfId="0" applyAlignment="1" applyBorder="1" applyFill="1" applyFont="1" applyNumberFormat="1">
      <alignment shrinkToFit="0" vertical="center" wrapText="1"/>
    </xf>
    <xf borderId="3" fillId="6" fontId="3" numFmtId="164" xfId="0" applyAlignment="1" applyBorder="1" applyFill="1" applyFont="1" applyNumberFormat="1">
      <alignment shrinkToFit="0" vertical="center" wrapText="1"/>
    </xf>
    <xf borderId="1" fillId="6" fontId="3" numFmtId="164" xfId="0" applyAlignment="1" applyBorder="1" applyFill="1" applyFont="1" applyNumberFormat="1">
      <alignment shrinkToFit="0" vertical="center" wrapText="0"/>
    </xf>
    <xf borderId="1" fillId="6" fontId="3" numFmtId="0" xfId="0" applyAlignment="1" applyBorder="1" applyFill="1" applyFont="1">
      <alignment horizontal="left" shrinkToFit="0" vertical="top" wrapText="0"/>
    </xf>
    <xf borderId="2" fillId="6" fontId="3" numFmtId="0" xfId="0" applyAlignment="1" applyBorder="1" applyFill="1" applyFont="1">
      <alignment readingOrder="0" shrinkToFit="0" vertical="center" wrapText="1"/>
    </xf>
    <xf borderId="1" fillId="6" fontId="5" numFmtId="0" xfId="0" applyAlignment="1" applyBorder="1" applyFill="1" applyFont="1">
      <alignment horizontal="left" shrinkToFit="0" vertical="center" wrapText="0"/>
    </xf>
    <xf borderId="1" fillId="6" fontId="6" numFmtId="0" xfId="0" applyAlignment="1" applyBorder="1" applyFill="1" applyFont="1">
      <alignment horizontal="left" shrinkToFit="0" vertical="center" wrapText="0"/>
    </xf>
    <xf borderId="1" fillId="6" fontId="3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horizontal="left" readingOrder="0" shrinkToFit="0" vertical="center" wrapText="0"/>
    </xf>
    <xf borderId="1" fillId="6" fontId="5" numFmtId="164" xfId="0" applyAlignment="1" applyBorder="1" applyFill="1" applyFont="1" applyNumberFormat="1">
      <alignment shrinkToFit="0" vertical="center" wrapText="0"/>
    </xf>
    <xf borderId="1" fillId="6" fontId="3" numFmtId="0" xfId="0" applyAlignment="1" applyBorder="1" applyFill="1" applyFont="1">
      <alignment readingOrder="0" shrinkToFit="0" vertical="top" wrapText="1"/>
    </xf>
    <xf borderId="2" fillId="7" fontId="3" numFmtId="0" xfId="0" applyAlignment="1" applyBorder="1" applyFill="1" applyFont="1">
      <alignment horizontal="left" shrinkToFit="0" vertical="center" wrapText="1"/>
    </xf>
    <xf borderId="2" fillId="7" fontId="3" numFmtId="164" xfId="0" applyAlignment="1" applyBorder="1" applyFill="1" applyFont="1" applyNumberFormat="1">
      <alignment shrinkToFit="0" vertical="center" wrapText="1"/>
    </xf>
    <xf borderId="3" fillId="7" fontId="3" numFmtId="164" xfId="0" applyAlignment="1" applyBorder="1" applyFill="1" applyFont="1" applyNumberFormat="1">
      <alignment shrinkToFit="0" vertical="center" wrapText="1"/>
    </xf>
    <xf borderId="1" fillId="7" fontId="3" numFmtId="164" xfId="0" applyAlignment="1" applyBorder="1" applyFill="1" applyFont="1" applyNumberFormat="1">
      <alignment shrinkToFit="0" vertical="center" wrapText="0"/>
    </xf>
    <xf borderId="1" fillId="7" fontId="3" numFmtId="0" xfId="0" applyAlignment="1" applyBorder="1" applyFill="1" applyFont="1">
      <alignment horizontal="left" shrinkToFit="0" vertical="top" wrapText="0"/>
    </xf>
    <xf borderId="2" fillId="7" fontId="3" numFmtId="0" xfId="0" applyAlignment="1" applyBorder="1" applyFill="1" applyFont="1">
      <alignment readingOrder="0" shrinkToFit="0" vertical="center" wrapText="1"/>
    </xf>
    <xf borderId="1" fillId="7" fontId="3" numFmtId="0" xfId="0" applyAlignment="1" applyBorder="1" applyFill="1" applyFont="1">
      <alignment horizontal="left" readingOrder="0" shrinkToFit="0" vertical="top" wrapText="1"/>
    </xf>
    <xf borderId="1" fillId="7" fontId="3" numFmtId="0" xfId="0" applyAlignment="1" applyBorder="1" applyFill="1" applyFont="1">
      <alignment shrinkToFit="0" vertical="top" wrapText="1"/>
    </xf>
    <xf borderId="1" fillId="7" fontId="3" numFmtId="0" xfId="0" applyAlignment="1" applyBorder="1" applyFill="1" applyFont="1">
      <alignment horizontal="left" shrinkToFit="0" vertical="center" wrapText="0"/>
    </xf>
    <xf borderId="1" fillId="7" fontId="3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horizontal="left"/>
    </xf>
    <xf borderId="4" fillId="8" fontId="5" numFmtId="0" xfId="0" applyAlignment="1" applyBorder="1" applyFill="1" applyFont="1">
      <alignment horizontal="left"/>
    </xf>
    <xf borderId="0" fillId="9" fontId="6" numFmtId="0" xfId="0" applyAlignment="1" applyFill="1" applyFont="1">
      <alignment horizontal="left"/>
    </xf>
    <xf borderId="4" fillId="8" fontId="10" numFmtId="0" xfId="0" applyAlignment="1" applyBorder="1" applyFill="1" applyFont="1">
      <alignment horizontal="left"/>
    </xf>
    <xf borderId="0" fillId="0" fontId="10" numFmtId="0" xfId="0" applyAlignment="1" applyFont="1">
      <alignment horizontal="left"/>
    </xf>
    <xf borderId="5" fillId="10" fontId="11" numFmtId="0" xfId="0" applyAlignment="1" applyBorder="1" applyFill="1" applyFont="1">
      <alignment horizontal="left" vertical="center"/>
    </xf>
    <xf borderId="5" fillId="0" fontId="2" numFmtId="0" xfId="0" applyAlignment="1" applyBorder="1" applyFont="1">
      <alignment horizontal="left"/>
    </xf>
    <xf borderId="5" fillId="0" fontId="2" numFmtId="1" xfId="0" applyAlignment="1" applyBorder="1" applyFont="1" applyNumberFormat="1">
      <alignment horizontal="left"/>
    </xf>
    <xf borderId="5" fillId="10" fontId="12" numFmtId="0" xfId="0" applyAlignment="1" applyBorder="1" applyFill="1" applyFont="1">
      <alignment horizontal="left"/>
    </xf>
    <xf borderId="5" fillId="10" fontId="12" numFmtId="1" xfId="0" applyAlignment="1" applyBorder="1" applyFill="1" applyFont="1" applyNumberFormat="1">
      <alignment horizontal="left"/>
    </xf>
    <xf borderId="0" fillId="0" fontId="1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3" fontId="6" numFmtId="0" xfId="0" applyAlignment="1" applyFill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B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3" displayName="Bảng_1" name="Bảng_1" id="1">
  <tableColumns count="18">
    <tableColumn name="Function/Screen" id="1"/>
    <tableColumn name="Feature" id="2"/>
    <tableColumn name="Sub Feature" id="3"/>
    <tableColumn name="Type" id="4"/>
    <tableColumn name="Function/Screen Description" id="5"/>
    <tableColumn name="Level*" id="6"/>
    <tableColumn name="Requirement" id="7"/>
    <tableColumn name="Design" id="8"/>
    <tableColumn name="Coding" id="9"/>
    <tableColumn name="Test" id="10"/>
    <tableColumn name="Deploy" id="11"/>
    <tableColumn name="Planned" id="12"/>
    <tableColumn name="Status" id="13"/>
    <tableColumn name="SRS" id="14"/>
    <tableColumn name="In-Charge" id="15"/>
    <tableColumn name="Deadline" id="16"/>
    <tableColumn name="IT Case" id="17"/>
    <tableColumn name="Author" id="18"/>
  </tableColumns>
  <tableStyleInfo name="W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ABXdExXjO6M0Uqnl4tHyXJ/AgriSustain-Admin-Screens?node-id=0-1&amp;t=oRZa3LDhso9tWRUD-1" TargetMode="External"/><Relationship Id="rId2" Type="http://schemas.openxmlformats.org/officeDocument/2006/relationships/hyperlink" Target="https://www.figma.com/design/EVk5i6ZzmwX7tikcTi05sw/screen?node-id=29-7650&amp;t=tr3qeb06rr5suVQj-1" TargetMode="External"/><Relationship Id="rId3" Type="http://schemas.openxmlformats.org/officeDocument/2006/relationships/hyperlink" Target="https://www.figma.com/design/M28blDo8ph8UMo9C2to7iC/Untitled?node-id=0-1&amp;p=f&amp;t=UBTtqq3G8H4mBcGb-0" TargetMode="External"/><Relationship Id="rId4" Type="http://schemas.openxmlformats.org/officeDocument/2006/relationships/hyperlink" Target="https://www.figma.com/design/dcOyyhs3r2mjcYPKU4VnLh/Untitled?node-id=2-580&amp;t=Be1a5OJyrasLeR5h-1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5"/>
    <col customWidth="1" min="2" max="2" width="31.88"/>
    <col customWidth="1" min="3" max="3" width="13.13"/>
    <col customWidth="1" min="4" max="4" width="11.38"/>
    <col customWidth="1" min="5" max="5" width="37.0"/>
    <col customWidth="1" min="6" max="6" width="10.38"/>
    <col customWidth="1" min="7" max="7" width="18.63"/>
    <col customWidth="1" min="8" max="8" width="13.88"/>
    <col customWidth="1" min="9" max="9" width="15.13"/>
    <col customWidth="1" min="10" max="10" width="11.75"/>
    <col customWidth="1" min="11" max="11" width="14.13"/>
    <col customWidth="1" min="12" max="12" width="13.0"/>
    <col customWidth="1" min="13" max="13" width="13.5"/>
    <col customWidth="1" min="14" max="14" width="13.88"/>
    <col customWidth="1" min="15" max="15" width="13.0"/>
    <col customWidth="1" min="16" max="16" width="11.88"/>
    <col customWidth="1" min="17" max="17" width="14.38"/>
    <col customWidth="1" min="18" max="18" width="12.63"/>
  </cols>
  <sheetData>
    <row r="1" ht="13.5" customHeight="1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43</v>
      </c>
      <c r="L1" s="14" t="s">
        <v>44</v>
      </c>
      <c r="M1" s="14" t="s">
        <v>9</v>
      </c>
      <c r="N1" s="16" t="s">
        <v>45</v>
      </c>
      <c r="O1" s="16" t="s">
        <v>46</v>
      </c>
      <c r="P1" s="17" t="s">
        <v>47</v>
      </c>
      <c r="Q1" s="17" t="s">
        <v>48</v>
      </c>
      <c r="R1" s="17" t="s">
        <v>49</v>
      </c>
      <c r="S1" s="18"/>
      <c r="T1" s="18"/>
      <c r="U1" s="18"/>
      <c r="V1" s="18"/>
      <c r="W1" s="18"/>
      <c r="X1" s="18"/>
      <c r="Y1" s="18"/>
      <c r="Z1" s="18"/>
    </row>
    <row r="2" ht="13.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20">
        <v>1.0</v>
      </c>
      <c r="H2" s="20">
        <v>0.9</v>
      </c>
      <c r="I2" s="20">
        <v>1.8</v>
      </c>
      <c r="J2" s="20">
        <v>0.7</v>
      </c>
      <c r="K2" s="21">
        <v>0.3</v>
      </c>
      <c r="L2" s="22" t="s">
        <v>56</v>
      </c>
      <c r="M2" s="23" t="s">
        <v>23</v>
      </c>
      <c r="N2" s="23" t="s">
        <v>57</v>
      </c>
      <c r="O2" s="24"/>
      <c r="P2" s="25"/>
      <c r="Q2" s="26" t="s">
        <v>58</v>
      </c>
      <c r="R2" s="25" t="s">
        <v>59</v>
      </c>
      <c r="S2" s="18"/>
      <c r="T2" s="18"/>
      <c r="U2" s="18"/>
      <c r="V2" s="18"/>
      <c r="W2" s="18"/>
      <c r="X2" s="18"/>
      <c r="Y2" s="18"/>
      <c r="Z2" s="18"/>
    </row>
    <row r="3" ht="13.5" customHeight="1">
      <c r="A3" s="19" t="s">
        <v>60</v>
      </c>
      <c r="B3" s="19" t="s">
        <v>51</v>
      </c>
      <c r="C3" s="19" t="s">
        <v>61</v>
      </c>
      <c r="D3" s="19" t="s">
        <v>53</v>
      </c>
      <c r="E3" s="19" t="s">
        <v>62</v>
      </c>
      <c r="F3" s="19" t="s">
        <v>19</v>
      </c>
      <c r="G3" s="20">
        <v>1.0</v>
      </c>
      <c r="H3" s="20">
        <v>1.2</v>
      </c>
      <c r="I3" s="20">
        <v>3.4</v>
      </c>
      <c r="J3" s="20">
        <v>1.2</v>
      </c>
      <c r="K3" s="21">
        <v>0.5</v>
      </c>
      <c r="L3" s="27" t="s">
        <v>56</v>
      </c>
      <c r="M3" s="23" t="s">
        <v>23</v>
      </c>
      <c r="N3" s="23" t="s">
        <v>57</v>
      </c>
      <c r="O3" s="24"/>
      <c r="P3" s="25"/>
      <c r="Q3" s="26" t="s">
        <v>58</v>
      </c>
      <c r="R3" s="25" t="s">
        <v>59</v>
      </c>
      <c r="S3" s="18"/>
      <c r="T3" s="18"/>
      <c r="U3" s="18"/>
      <c r="V3" s="18"/>
      <c r="W3" s="18"/>
      <c r="X3" s="18"/>
      <c r="Y3" s="18"/>
      <c r="Z3" s="18"/>
    </row>
    <row r="4" ht="13.5" customHeight="1">
      <c r="A4" s="19" t="s">
        <v>63</v>
      </c>
      <c r="B4" s="19" t="s">
        <v>51</v>
      </c>
      <c r="C4" s="19" t="s">
        <v>64</v>
      </c>
      <c r="D4" s="19" t="s">
        <v>53</v>
      </c>
      <c r="E4" s="19" t="s">
        <v>65</v>
      </c>
      <c r="F4" s="19" t="s">
        <v>55</v>
      </c>
      <c r="G4" s="20">
        <v>1.0</v>
      </c>
      <c r="H4" s="20">
        <v>0.9</v>
      </c>
      <c r="I4" s="20">
        <v>1.8</v>
      </c>
      <c r="J4" s="20">
        <v>0.7</v>
      </c>
      <c r="K4" s="21">
        <v>0.3</v>
      </c>
      <c r="L4" s="27" t="s">
        <v>56</v>
      </c>
      <c r="M4" s="23" t="s">
        <v>23</v>
      </c>
      <c r="N4" s="23" t="s">
        <v>57</v>
      </c>
      <c r="O4" s="24"/>
      <c r="P4" s="25"/>
      <c r="Q4" s="26" t="s">
        <v>58</v>
      </c>
      <c r="R4" s="25" t="s">
        <v>66</v>
      </c>
      <c r="S4" s="18"/>
      <c r="T4" s="18"/>
      <c r="U4" s="18"/>
      <c r="V4" s="18"/>
      <c r="W4" s="18"/>
      <c r="X4" s="18"/>
      <c r="Y4" s="18"/>
      <c r="Z4" s="18"/>
    </row>
    <row r="5" ht="13.5" customHeight="1">
      <c r="A5" s="19" t="s">
        <v>67</v>
      </c>
      <c r="B5" s="19" t="s">
        <v>51</v>
      </c>
      <c r="C5" s="19" t="s">
        <v>68</v>
      </c>
      <c r="D5" s="19" t="s">
        <v>69</v>
      </c>
      <c r="E5" s="19" t="s">
        <v>70</v>
      </c>
      <c r="F5" s="19" t="s">
        <v>55</v>
      </c>
      <c r="G5" s="20">
        <v>1.0</v>
      </c>
      <c r="H5" s="20">
        <v>0.9</v>
      </c>
      <c r="I5" s="20">
        <v>1.8</v>
      </c>
      <c r="J5" s="20">
        <v>0.7</v>
      </c>
      <c r="K5" s="21">
        <v>0.3</v>
      </c>
      <c r="L5" s="27" t="s">
        <v>56</v>
      </c>
      <c r="M5" s="23" t="s">
        <v>23</v>
      </c>
      <c r="N5" s="23" t="s">
        <v>57</v>
      </c>
      <c r="O5" s="24"/>
      <c r="P5" s="25"/>
      <c r="Q5" s="26" t="s">
        <v>58</v>
      </c>
      <c r="R5" s="25" t="s">
        <v>66</v>
      </c>
      <c r="S5" s="18"/>
      <c r="T5" s="18"/>
      <c r="U5" s="18"/>
      <c r="V5" s="18"/>
      <c r="W5" s="18"/>
      <c r="X5" s="18"/>
      <c r="Y5" s="18"/>
      <c r="Z5" s="18"/>
    </row>
    <row r="6" ht="13.5" customHeight="1">
      <c r="A6" s="19" t="s">
        <v>71</v>
      </c>
      <c r="B6" s="19" t="s">
        <v>51</v>
      </c>
      <c r="C6" s="19" t="s">
        <v>72</v>
      </c>
      <c r="D6" s="19" t="s">
        <v>53</v>
      </c>
      <c r="E6" s="19" t="s">
        <v>73</v>
      </c>
      <c r="F6" s="19" t="s">
        <v>55</v>
      </c>
      <c r="G6" s="20">
        <v>1.0</v>
      </c>
      <c r="H6" s="20">
        <v>0.9</v>
      </c>
      <c r="I6" s="20">
        <v>1.8</v>
      </c>
      <c r="J6" s="20">
        <v>0.7</v>
      </c>
      <c r="K6" s="21">
        <v>0.3</v>
      </c>
      <c r="L6" s="27" t="s">
        <v>56</v>
      </c>
      <c r="M6" s="23" t="s">
        <v>23</v>
      </c>
      <c r="N6" s="23" t="s">
        <v>57</v>
      </c>
      <c r="O6" s="24"/>
      <c r="P6" s="25"/>
      <c r="Q6" s="26" t="s">
        <v>58</v>
      </c>
      <c r="R6" s="25" t="s">
        <v>77</v>
      </c>
      <c r="S6" s="18"/>
      <c r="T6" s="18"/>
      <c r="U6" s="18"/>
      <c r="V6" s="18"/>
      <c r="W6" s="18"/>
      <c r="X6" s="18"/>
      <c r="Y6" s="18"/>
      <c r="Z6" s="18"/>
    </row>
    <row r="7" ht="13.5" customHeight="1">
      <c r="A7" s="19" t="s">
        <v>79</v>
      </c>
      <c r="B7" s="19" t="s">
        <v>80</v>
      </c>
      <c r="C7" s="19" t="s">
        <v>81</v>
      </c>
      <c r="D7" s="19" t="s">
        <v>53</v>
      </c>
      <c r="E7" s="19" t="s">
        <v>83</v>
      </c>
      <c r="F7" s="19" t="s">
        <v>19</v>
      </c>
      <c r="G7" s="20">
        <v>1.0</v>
      </c>
      <c r="H7" s="20">
        <v>1.2</v>
      </c>
      <c r="I7" s="20">
        <v>3.8</v>
      </c>
      <c r="J7" s="20">
        <v>1.4</v>
      </c>
      <c r="K7" s="21">
        <v>0.6</v>
      </c>
      <c r="L7" s="27" t="s">
        <v>56</v>
      </c>
      <c r="M7" s="23" t="s">
        <v>23</v>
      </c>
      <c r="N7" s="23" t="s">
        <v>57</v>
      </c>
      <c r="O7" s="24"/>
      <c r="P7" s="25"/>
      <c r="Q7" s="26" t="s">
        <v>58</v>
      </c>
      <c r="R7" s="25" t="s">
        <v>77</v>
      </c>
      <c r="S7" s="18"/>
      <c r="T7" s="18"/>
      <c r="U7" s="18"/>
      <c r="V7" s="18"/>
      <c r="W7" s="18"/>
      <c r="X7" s="18"/>
      <c r="Y7" s="18"/>
      <c r="Z7" s="18"/>
    </row>
    <row r="8" ht="13.5" customHeight="1">
      <c r="A8" s="19" t="s">
        <v>86</v>
      </c>
      <c r="B8" s="19" t="s">
        <v>80</v>
      </c>
      <c r="C8" s="19" t="s">
        <v>87</v>
      </c>
      <c r="D8" s="19" t="s">
        <v>53</v>
      </c>
      <c r="E8" s="19" t="s">
        <v>88</v>
      </c>
      <c r="F8" s="19" t="s">
        <v>19</v>
      </c>
      <c r="G8" s="20">
        <v>1.0</v>
      </c>
      <c r="H8" s="20">
        <v>1.2</v>
      </c>
      <c r="I8" s="20">
        <v>3.8</v>
      </c>
      <c r="J8" s="20">
        <v>1.4</v>
      </c>
      <c r="K8" s="21">
        <v>0.6</v>
      </c>
      <c r="L8" s="27" t="s">
        <v>56</v>
      </c>
      <c r="M8" s="23" t="s">
        <v>23</v>
      </c>
      <c r="N8" s="23" t="s">
        <v>57</v>
      </c>
      <c r="O8" s="24"/>
      <c r="P8" s="25"/>
      <c r="Q8" s="26" t="s">
        <v>58</v>
      </c>
      <c r="R8" s="25" t="s">
        <v>77</v>
      </c>
      <c r="S8" s="18"/>
      <c r="T8" s="18"/>
      <c r="U8" s="18"/>
      <c r="V8" s="18"/>
      <c r="W8" s="18"/>
      <c r="X8" s="18"/>
      <c r="Y8" s="18"/>
      <c r="Z8" s="18"/>
    </row>
    <row r="9" ht="13.5" customHeight="1">
      <c r="A9" s="19" t="s">
        <v>89</v>
      </c>
      <c r="B9" s="19" t="s">
        <v>90</v>
      </c>
      <c r="C9" s="19" t="s">
        <v>91</v>
      </c>
      <c r="D9" s="19" t="s">
        <v>53</v>
      </c>
      <c r="E9" s="19" t="s">
        <v>92</v>
      </c>
      <c r="F9" s="19" t="s">
        <v>19</v>
      </c>
      <c r="G9" s="20">
        <v>1.0</v>
      </c>
      <c r="H9" s="20">
        <v>1.2</v>
      </c>
      <c r="I9" s="20">
        <v>4.3</v>
      </c>
      <c r="J9" s="20">
        <v>1.6</v>
      </c>
      <c r="K9" s="21">
        <v>0.6</v>
      </c>
      <c r="L9" s="27" t="s">
        <v>56</v>
      </c>
      <c r="M9" s="23" t="s">
        <v>23</v>
      </c>
      <c r="N9" s="23" t="s">
        <v>57</v>
      </c>
      <c r="O9" s="24"/>
      <c r="P9" s="25"/>
      <c r="Q9" s="26" t="s">
        <v>58</v>
      </c>
      <c r="R9" s="25" t="s">
        <v>93</v>
      </c>
      <c r="S9" s="18"/>
      <c r="T9" s="18"/>
      <c r="U9" s="18"/>
      <c r="V9" s="18"/>
      <c r="W9" s="18"/>
      <c r="X9" s="18"/>
      <c r="Y9" s="18"/>
      <c r="Z9" s="18"/>
    </row>
    <row r="10" ht="13.5" customHeight="1">
      <c r="A10" s="19" t="s">
        <v>94</v>
      </c>
      <c r="B10" s="19" t="s">
        <v>95</v>
      </c>
      <c r="C10" s="19" t="s">
        <v>96</v>
      </c>
      <c r="D10" s="19" t="s">
        <v>53</v>
      </c>
      <c r="E10" s="19" t="s">
        <v>97</v>
      </c>
      <c r="F10" s="19" t="s">
        <v>55</v>
      </c>
      <c r="G10" s="20">
        <v>1.0</v>
      </c>
      <c r="H10" s="20">
        <v>0.9</v>
      </c>
      <c r="I10" s="20">
        <v>2.2</v>
      </c>
      <c r="J10" s="20">
        <v>0.8</v>
      </c>
      <c r="K10" s="21">
        <v>0.3</v>
      </c>
      <c r="L10" s="27" t="s">
        <v>56</v>
      </c>
      <c r="M10" s="23" t="s">
        <v>23</v>
      </c>
      <c r="N10" s="23" t="s">
        <v>57</v>
      </c>
      <c r="O10" s="24"/>
      <c r="P10" s="25"/>
      <c r="Q10" s="26" t="s">
        <v>58</v>
      </c>
      <c r="R10" s="25" t="s">
        <v>75</v>
      </c>
      <c r="S10" s="18"/>
      <c r="T10" s="18"/>
      <c r="U10" s="18"/>
      <c r="V10" s="18"/>
      <c r="W10" s="18"/>
      <c r="X10" s="18"/>
      <c r="Y10" s="18"/>
      <c r="Z10" s="18"/>
    </row>
    <row r="11" ht="13.5" customHeight="1">
      <c r="A11" s="19" t="s">
        <v>98</v>
      </c>
      <c r="B11" s="19" t="s">
        <v>95</v>
      </c>
      <c r="C11" s="19" t="s">
        <v>99</v>
      </c>
      <c r="D11" s="19" t="s">
        <v>53</v>
      </c>
      <c r="E11" s="19" t="s">
        <v>100</v>
      </c>
      <c r="F11" s="19" t="s">
        <v>55</v>
      </c>
      <c r="G11" s="20">
        <v>1.0</v>
      </c>
      <c r="H11" s="20">
        <v>0.9</v>
      </c>
      <c r="I11" s="20">
        <v>1.8</v>
      </c>
      <c r="J11" s="20">
        <v>0.6</v>
      </c>
      <c r="K11" s="21">
        <v>0.3</v>
      </c>
      <c r="L11" s="27" t="s">
        <v>56</v>
      </c>
      <c r="M11" s="23" t="s">
        <v>23</v>
      </c>
      <c r="N11" s="23" t="s">
        <v>57</v>
      </c>
      <c r="O11" s="24"/>
      <c r="P11" s="25"/>
      <c r="Q11" s="26" t="s">
        <v>58</v>
      </c>
      <c r="R11" s="25" t="s">
        <v>75</v>
      </c>
      <c r="S11" s="18"/>
      <c r="T11" s="18"/>
      <c r="U11" s="18"/>
      <c r="V11" s="18"/>
      <c r="W11" s="18"/>
      <c r="X11" s="18"/>
      <c r="Y11" s="18"/>
      <c r="Z11" s="18"/>
    </row>
    <row r="12" ht="13.5" customHeight="1">
      <c r="A12" s="19" t="s">
        <v>101</v>
      </c>
      <c r="B12" s="19" t="s">
        <v>102</v>
      </c>
      <c r="C12" s="19" t="s">
        <v>103</v>
      </c>
      <c r="D12" s="19" t="s">
        <v>53</v>
      </c>
      <c r="E12" s="19" t="s">
        <v>104</v>
      </c>
      <c r="F12" s="19" t="s">
        <v>55</v>
      </c>
      <c r="G12" s="20">
        <v>1.0</v>
      </c>
      <c r="H12" s="20">
        <v>0.9</v>
      </c>
      <c r="I12" s="20">
        <v>1.8</v>
      </c>
      <c r="J12" s="20">
        <v>0.6</v>
      </c>
      <c r="K12" s="33">
        <v>0.3</v>
      </c>
      <c r="L12" s="27" t="s">
        <v>56</v>
      </c>
      <c r="M12" s="23" t="s">
        <v>23</v>
      </c>
      <c r="N12" s="23" t="s">
        <v>57</v>
      </c>
      <c r="O12" s="24"/>
      <c r="P12" s="25"/>
      <c r="Q12" s="26" t="s">
        <v>58</v>
      </c>
      <c r="R12" s="25" t="s">
        <v>93</v>
      </c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19" t="s">
        <v>105</v>
      </c>
      <c r="B13" s="19" t="s">
        <v>102</v>
      </c>
      <c r="C13" s="19" t="s">
        <v>106</v>
      </c>
      <c r="D13" s="19" t="s">
        <v>53</v>
      </c>
      <c r="E13" s="19" t="s">
        <v>107</v>
      </c>
      <c r="F13" s="19" t="s">
        <v>108</v>
      </c>
      <c r="G13" s="20">
        <v>1.0</v>
      </c>
      <c r="H13" s="20">
        <v>1.5</v>
      </c>
      <c r="I13" s="20">
        <v>8.1</v>
      </c>
      <c r="J13" s="20">
        <v>3.1</v>
      </c>
      <c r="K13" s="33">
        <v>1.2</v>
      </c>
      <c r="L13" s="27" t="s">
        <v>56</v>
      </c>
      <c r="M13" s="23" t="s">
        <v>23</v>
      </c>
      <c r="N13" s="23" t="s">
        <v>57</v>
      </c>
      <c r="O13" s="24"/>
      <c r="P13" s="25"/>
      <c r="Q13" s="26" t="s">
        <v>58</v>
      </c>
      <c r="R13" s="25" t="s">
        <v>75</v>
      </c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19" t="s">
        <v>109</v>
      </c>
      <c r="B14" s="19" t="s">
        <v>102</v>
      </c>
      <c r="C14" s="19" t="s">
        <v>110</v>
      </c>
      <c r="D14" s="19" t="s">
        <v>53</v>
      </c>
      <c r="E14" s="19" t="s">
        <v>111</v>
      </c>
      <c r="F14" s="19" t="s">
        <v>19</v>
      </c>
      <c r="G14" s="20">
        <v>1.0</v>
      </c>
      <c r="H14" s="20">
        <v>1.2</v>
      </c>
      <c r="I14" s="20">
        <v>2.9</v>
      </c>
      <c r="J14" s="20">
        <v>1.1</v>
      </c>
      <c r="K14" s="21">
        <v>0.4</v>
      </c>
      <c r="L14" s="27" t="s">
        <v>56</v>
      </c>
      <c r="M14" s="23" t="s">
        <v>23</v>
      </c>
      <c r="N14" s="23" t="s">
        <v>57</v>
      </c>
      <c r="O14" s="24"/>
      <c r="P14" s="25"/>
      <c r="Q14" s="26" t="s">
        <v>58</v>
      </c>
      <c r="R14" s="25" t="s">
        <v>59</v>
      </c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19" t="s">
        <v>112</v>
      </c>
      <c r="B15" s="19" t="s">
        <v>113</v>
      </c>
      <c r="C15" s="19" t="s">
        <v>114</v>
      </c>
      <c r="D15" s="19" t="s">
        <v>53</v>
      </c>
      <c r="E15" s="19" t="s">
        <v>115</v>
      </c>
      <c r="F15" s="19" t="s">
        <v>19</v>
      </c>
      <c r="G15" s="20">
        <v>1.0</v>
      </c>
      <c r="H15" s="20">
        <v>1.1</v>
      </c>
      <c r="I15" s="20">
        <v>3.4</v>
      </c>
      <c r="J15" s="34">
        <v>1.2</v>
      </c>
      <c r="K15" s="21">
        <v>0.5</v>
      </c>
      <c r="L15" s="27" t="s">
        <v>56</v>
      </c>
      <c r="M15" s="23" t="s">
        <v>23</v>
      </c>
      <c r="N15" s="23" t="s">
        <v>57</v>
      </c>
      <c r="O15" s="24"/>
      <c r="P15" s="25"/>
      <c r="Q15" s="26" t="s">
        <v>58</v>
      </c>
      <c r="R15" s="25" t="s">
        <v>93</v>
      </c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19" t="s">
        <v>116</v>
      </c>
      <c r="B16" s="19" t="s">
        <v>95</v>
      </c>
      <c r="C16" s="19" t="s">
        <v>117</v>
      </c>
      <c r="D16" s="19" t="s">
        <v>53</v>
      </c>
      <c r="E16" s="19" t="s">
        <v>118</v>
      </c>
      <c r="F16" s="19" t="s">
        <v>19</v>
      </c>
      <c r="G16" s="20">
        <v>1.0</v>
      </c>
      <c r="H16" s="20">
        <v>1.1</v>
      </c>
      <c r="I16" s="20">
        <v>3.3</v>
      </c>
      <c r="J16" s="34">
        <v>1.2</v>
      </c>
      <c r="K16" s="21">
        <v>0.5</v>
      </c>
      <c r="L16" s="27" t="s">
        <v>56</v>
      </c>
      <c r="M16" s="23" t="s">
        <v>23</v>
      </c>
      <c r="N16" s="23" t="s">
        <v>57</v>
      </c>
      <c r="O16" s="24"/>
      <c r="P16" s="25"/>
      <c r="Q16" s="26" t="s">
        <v>58</v>
      </c>
      <c r="R16" s="25" t="s">
        <v>66</v>
      </c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35" t="s">
        <v>119</v>
      </c>
      <c r="B17" s="35" t="s">
        <v>51</v>
      </c>
      <c r="C17" s="35" t="s">
        <v>120</v>
      </c>
      <c r="D17" s="35" t="s">
        <v>53</v>
      </c>
      <c r="E17" s="35" t="s">
        <v>121</v>
      </c>
      <c r="F17" s="35" t="s">
        <v>19</v>
      </c>
      <c r="G17" s="36">
        <v>1.0</v>
      </c>
      <c r="H17" s="36">
        <v>1.0</v>
      </c>
      <c r="I17" s="36">
        <v>3.6</v>
      </c>
      <c r="J17" s="37">
        <v>1.2</v>
      </c>
      <c r="K17" s="38">
        <v>0.7</v>
      </c>
      <c r="L17" s="39" t="s">
        <v>122</v>
      </c>
      <c r="M17" s="40" t="s">
        <v>23</v>
      </c>
      <c r="N17" s="40" t="s">
        <v>57</v>
      </c>
      <c r="O17" s="41"/>
      <c r="P17" s="42"/>
      <c r="Q17" s="43" t="s">
        <v>58</v>
      </c>
      <c r="R17" s="44" t="s">
        <v>75</v>
      </c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35" t="s">
        <v>123</v>
      </c>
      <c r="B18" s="35" t="s">
        <v>124</v>
      </c>
      <c r="C18" s="35" t="s">
        <v>125</v>
      </c>
      <c r="D18" s="35" t="s">
        <v>53</v>
      </c>
      <c r="E18" s="35" t="s">
        <v>126</v>
      </c>
      <c r="F18" s="35" t="s">
        <v>19</v>
      </c>
      <c r="G18" s="36">
        <v>1.0</v>
      </c>
      <c r="H18" s="36">
        <v>1.0</v>
      </c>
      <c r="I18" s="36">
        <v>3.1</v>
      </c>
      <c r="J18" s="37">
        <v>1.0</v>
      </c>
      <c r="K18" s="38">
        <v>0.6</v>
      </c>
      <c r="L18" s="39" t="s">
        <v>122</v>
      </c>
      <c r="M18" s="40" t="s">
        <v>23</v>
      </c>
      <c r="N18" s="40" t="s">
        <v>57</v>
      </c>
      <c r="O18" s="41"/>
      <c r="P18" s="41"/>
      <c r="Q18" s="43" t="s">
        <v>58</v>
      </c>
      <c r="R18" s="44" t="s">
        <v>59</v>
      </c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35" t="s">
        <v>127</v>
      </c>
      <c r="B19" s="35" t="s">
        <v>128</v>
      </c>
      <c r="C19" s="35" t="s">
        <v>129</v>
      </c>
      <c r="D19" s="35" t="s">
        <v>53</v>
      </c>
      <c r="E19" s="35" t="s">
        <v>130</v>
      </c>
      <c r="F19" s="35" t="s">
        <v>19</v>
      </c>
      <c r="G19" s="36">
        <v>1.0</v>
      </c>
      <c r="H19" s="36">
        <v>1.0</v>
      </c>
      <c r="I19" s="36">
        <v>3.6</v>
      </c>
      <c r="J19" s="37">
        <v>1.2</v>
      </c>
      <c r="K19" s="38">
        <v>0.7</v>
      </c>
      <c r="L19" s="39" t="s">
        <v>122</v>
      </c>
      <c r="M19" s="40" t="s">
        <v>23</v>
      </c>
      <c r="N19" s="40" t="s">
        <v>57</v>
      </c>
      <c r="O19" s="41"/>
      <c r="P19" s="41"/>
      <c r="Q19" s="43" t="s">
        <v>58</v>
      </c>
      <c r="R19" s="44" t="s">
        <v>93</v>
      </c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35" t="s">
        <v>131</v>
      </c>
      <c r="B20" s="35" t="s">
        <v>128</v>
      </c>
      <c r="C20" s="35" t="s">
        <v>132</v>
      </c>
      <c r="D20" s="35" t="s">
        <v>53</v>
      </c>
      <c r="E20" s="35" t="s">
        <v>133</v>
      </c>
      <c r="F20" s="35" t="s">
        <v>19</v>
      </c>
      <c r="G20" s="36">
        <v>1.0</v>
      </c>
      <c r="H20" s="36">
        <v>1.0</v>
      </c>
      <c r="I20" s="36">
        <v>3.1</v>
      </c>
      <c r="J20" s="37">
        <v>1.0</v>
      </c>
      <c r="K20" s="38">
        <v>0.6</v>
      </c>
      <c r="L20" s="39" t="s">
        <v>122</v>
      </c>
      <c r="M20" s="40" t="s">
        <v>23</v>
      </c>
      <c r="N20" s="40" t="s">
        <v>57</v>
      </c>
      <c r="O20" s="41"/>
      <c r="P20" s="41"/>
      <c r="Q20" s="43" t="s">
        <v>58</v>
      </c>
      <c r="R20" s="44" t="s">
        <v>93</v>
      </c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35" t="s">
        <v>134</v>
      </c>
      <c r="B21" s="35" t="s">
        <v>135</v>
      </c>
      <c r="C21" s="35" t="s">
        <v>136</v>
      </c>
      <c r="D21" s="35" t="s">
        <v>53</v>
      </c>
      <c r="E21" s="35" t="s">
        <v>137</v>
      </c>
      <c r="F21" s="35" t="s">
        <v>108</v>
      </c>
      <c r="G21" s="36">
        <v>1.0</v>
      </c>
      <c r="H21" s="36">
        <v>1.2</v>
      </c>
      <c r="I21" s="36">
        <v>6.4</v>
      </c>
      <c r="J21" s="37">
        <v>2.2</v>
      </c>
      <c r="K21" s="38">
        <v>1.4</v>
      </c>
      <c r="L21" s="39" t="s">
        <v>122</v>
      </c>
      <c r="M21" s="40" t="s">
        <v>23</v>
      </c>
      <c r="N21" s="40" t="s">
        <v>57</v>
      </c>
      <c r="O21" s="41"/>
      <c r="P21" s="41"/>
      <c r="Q21" s="43" t="s">
        <v>58</v>
      </c>
      <c r="R21" s="44" t="s">
        <v>93</v>
      </c>
      <c r="S21" s="18"/>
      <c r="T21" s="18"/>
      <c r="U21" s="18"/>
      <c r="V21" s="18"/>
      <c r="W21" s="18"/>
      <c r="X21" s="18"/>
      <c r="Y21" s="18"/>
      <c r="Z21" s="18"/>
    </row>
    <row r="22" ht="13.5" customHeight="1">
      <c r="A22" s="35" t="s">
        <v>138</v>
      </c>
      <c r="B22" s="35" t="s">
        <v>95</v>
      </c>
      <c r="C22" s="35" t="s">
        <v>139</v>
      </c>
      <c r="D22" s="35" t="s">
        <v>53</v>
      </c>
      <c r="E22" s="35" t="s">
        <v>140</v>
      </c>
      <c r="F22" s="35" t="s">
        <v>19</v>
      </c>
      <c r="G22" s="36">
        <v>1.0</v>
      </c>
      <c r="H22" s="36">
        <v>1.0</v>
      </c>
      <c r="I22" s="36">
        <v>3.1</v>
      </c>
      <c r="J22" s="37">
        <v>1.0</v>
      </c>
      <c r="K22" s="38">
        <v>0.6</v>
      </c>
      <c r="L22" s="39" t="s">
        <v>122</v>
      </c>
      <c r="M22" s="40" t="s">
        <v>23</v>
      </c>
      <c r="N22" s="40" t="s">
        <v>141</v>
      </c>
      <c r="O22" s="41"/>
      <c r="P22" s="41"/>
      <c r="Q22" s="43" t="s">
        <v>58</v>
      </c>
      <c r="R22" s="44" t="s">
        <v>66</v>
      </c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35" t="s">
        <v>142</v>
      </c>
      <c r="B23" s="35" t="s">
        <v>143</v>
      </c>
      <c r="C23" s="35" t="s">
        <v>144</v>
      </c>
      <c r="D23" s="35" t="s">
        <v>53</v>
      </c>
      <c r="E23" s="35" t="s">
        <v>145</v>
      </c>
      <c r="F23" s="35" t="s">
        <v>108</v>
      </c>
      <c r="G23" s="36">
        <v>1.0</v>
      </c>
      <c r="H23" s="36">
        <v>1.2</v>
      </c>
      <c r="I23" s="36">
        <v>6.4</v>
      </c>
      <c r="J23" s="37">
        <v>2.2</v>
      </c>
      <c r="K23" s="45">
        <v>1.4</v>
      </c>
      <c r="L23" s="39" t="s">
        <v>122</v>
      </c>
      <c r="M23" s="40" t="s">
        <v>23</v>
      </c>
      <c r="N23" s="40" t="s">
        <v>141</v>
      </c>
      <c r="O23" s="41"/>
      <c r="P23" s="41"/>
      <c r="Q23" s="43" t="s">
        <v>58</v>
      </c>
      <c r="R23" s="44" t="s">
        <v>66</v>
      </c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35" t="s">
        <v>146</v>
      </c>
      <c r="B24" s="35" t="s">
        <v>147</v>
      </c>
      <c r="C24" s="35" t="s">
        <v>148</v>
      </c>
      <c r="D24" s="35" t="s">
        <v>53</v>
      </c>
      <c r="E24" s="35" t="s">
        <v>149</v>
      </c>
      <c r="F24" s="35" t="s">
        <v>55</v>
      </c>
      <c r="G24" s="36">
        <v>1.0</v>
      </c>
      <c r="H24" s="36">
        <v>0.7</v>
      </c>
      <c r="I24" s="36">
        <v>1.7</v>
      </c>
      <c r="J24" s="37">
        <v>0.6</v>
      </c>
      <c r="K24" s="38">
        <v>0.4</v>
      </c>
      <c r="L24" s="39" t="s">
        <v>122</v>
      </c>
      <c r="M24" s="40" t="s">
        <v>23</v>
      </c>
      <c r="N24" s="40" t="s">
        <v>57</v>
      </c>
      <c r="O24" s="41"/>
      <c r="P24" s="41"/>
      <c r="Q24" s="46" t="s">
        <v>58</v>
      </c>
      <c r="R24" s="44" t="s">
        <v>77</v>
      </c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35" t="s">
        <v>150</v>
      </c>
      <c r="B25" s="35" t="s">
        <v>147</v>
      </c>
      <c r="C25" s="35" t="s">
        <v>151</v>
      </c>
      <c r="D25" s="35" t="s">
        <v>53</v>
      </c>
      <c r="E25" s="35" t="s">
        <v>152</v>
      </c>
      <c r="F25" s="35" t="s">
        <v>19</v>
      </c>
      <c r="G25" s="36">
        <v>1.0</v>
      </c>
      <c r="H25" s="36">
        <v>1.0</v>
      </c>
      <c r="I25" s="36">
        <v>3.1</v>
      </c>
      <c r="J25" s="37">
        <v>1.0</v>
      </c>
      <c r="K25" s="38">
        <v>0.6</v>
      </c>
      <c r="L25" s="39" t="s">
        <v>122</v>
      </c>
      <c r="M25" s="40" t="s">
        <v>23</v>
      </c>
      <c r="N25" s="40" t="s">
        <v>57</v>
      </c>
      <c r="O25" s="41"/>
      <c r="P25" s="41"/>
      <c r="Q25" s="46" t="s">
        <v>58</v>
      </c>
      <c r="R25" s="44" t="s">
        <v>77</v>
      </c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35" t="s">
        <v>153</v>
      </c>
      <c r="B26" s="35" t="s">
        <v>95</v>
      </c>
      <c r="C26" s="35" t="s">
        <v>154</v>
      </c>
      <c r="D26" s="35" t="s">
        <v>53</v>
      </c>
      <c r="E26" s="35" t="s">
        <v>155</v>
      </c>
      <c r="F26" s="35" t="s">
        <v>108</v>
      </c>
      <c r="G26" s="36">
        <v>1.0</v>
      </c>
      <c r="H26" s="36">
        <v>1.2</v>
      </c>
      <c r="I26" s="36">
        <v>6.4</v>
      </c>
      <c r="J26" s="37">
        <v>2.2</v>
      </c>
      <c r="K26" s="38">
        <v>1.4</v>
      </c>
      <c r="L26" s="39" t="s">
        <v>122</v>
      </c>
      <c r="M26" s="40" t="s">
        <v>23</v>
      </c>
      <c r="N26" s="40" t="s">
        <v>57</v>
      </c>
      <c r="O26" s="41"/>
      <c r="P26" s="41"/>
      <c r="Q26" s="43" t="s">
        <v>58</v>
      </c>
      <c r="R26" s="44" t="s">
        <v>75</v>
      </c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35" t="s">
        <v>156</v>
      </c>
      <c r="B27" s="35" t="s">
        <v>95</v>
      </c>
      <c r="C27" s="35" t="s">
        <v>157</v>
      </c>
      <c r="D27" s="35" t="s">
        <v>53</v>
      </c>
      <c r="E27" s="35" t="s">
        <v>158</v>
      </c>
      <c r="F27" s="35" t="s">
        <v>55</v>
      </c>
      <c r="G27" s="36">
        <v>1.0</v>
      </c>
      <c r="H27" s="36">
        <v>0.7</v>
      </c>
      <c r="I27" s="36">
        <v>1.7</v>
      </c>
      <c r="J27" s="37">
        <v>0.5</v>
      </c>
      <c r="K27" s="38">
        <v>0.4</v>
      </c>
      <c r="L27" s="39" t="s">
        <v>122</v>
      </c>
      <c r="M27" s="40" t="s">
        <v>23</v>
      </c>
      <c r="N27" s="40" t="s">
        <v>57</v>
      </c>
      <c r="O27" s="41"/>
      <c r="P27" s="41"/>
      <c r="Q27" s="43" t="s">
        <v>58</v>
      </c>
      <c r="R27" s="44" t="s">
        <v>59</v>
      </c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35" t="s">
        <v>159</v>
      </c>
      <c r="B28" s="35" t="s">
        <v>160</v>
      </c>
      <c r="C28" s="35" t="s">
        <v>161</v>
      </c>
      <c r="D28" s="35" t="s">
        <v>53</v>
      </c>
      <c r="E28" s="35" t="s">
        <v>162</v>
      </c>
      <c r="F28" s="35" t="s">
        <v>19</v>
      </c>
      <c r="G28" s="36">
        <v>1.0</v>
      </c>
      <c r="H28" s="36">
        <v>1.0</v>
      </c>
      <c r="I28" s="36">
        <v>2.7</v>
      </c>
      <c r="J28" s="37">
        <v>0.9</v>
      </c>
      <c r="K28" s="38">
        <v>0.6</v>
      </c>
      <c r="L28" s="39" t="s">
        <v>122</v>
      </c>
      <c r="M28" s="40" t="s">
        <v>23</v>
      </c>
      <c r="N28" s="40" t="s">
        <v>57</v>
      </c>
      <c r="O28" s="41"/>
      <c r="P28" s="41"/>
      <c r="Q28" s="43" t="s">
        <v>58</v>
      </c>
      <c r="R28" s="44" t="s">
        <v>59</v>
      </c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35" t="s">
        <v>163</v>
      </c>
      <c r="B29" s="35" t="s">
        <v>95</v>
      </c>
      <c r="C29" s="35" t="s">
        <v>164</v>
      </c>
      <c r="D29" s="35" t="s">
        <v>53</v>
      </c>
      <c r="E29" s="35" t="s">
        <v>165</v>
      </c>
      <c r="F29" s="35" t="s">
        <v>19</v>
      </c>
      <c r="G29" s="36">
        <v>1.0</v>
      </c>
      <c r="H29" s="36">
        <v>1.0</v>
      </c>
      <c r="I29" s="36">
        <v>3.1</v>
      </c>
      <c r="J29" s="37">
        <v>1.0</v>
      </c>
      <c r="K29" s="38">
        <v>0.6</v>
      </c>
      <c r="L29" s="39" t="s">
        <v>122</v>
      </c>
      <c r="M29" s="40" t="s">
        <v>23</v>
      </c>
      <c r="N29" s="40" t="s">
        <v>57</v>
      </c>
      <c r="O29" s="41"/>
      <c r="P29" s="41"/>
      <c r="Q29" s="43" t="s">
        <v>58</v>
      </c>
      <c r="R29" s="44" t="s">
        <v>75</v>
      </c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47" t="s">
        <v>166</v>
      </c>
      <c r="B30" s="47" t="s">
        <v>51</v>
      </c>
      <c r="C30" s="47" t="s">
        <v>167</v>
      </c>
      <c r="D30" s="47" t="s">
        <v>53</v>
      </c>
      <c r="E30" s="47" t="s">
        <v>168</v>
      </c>
      <c r="F30" s="47" t="s">
        <v>19</v>
      </c>
      <c r="G30" s="48">
        <v>1.0</v>
      </c>
      <c r="H30" s="48">
        <v>0.9</v>
      </c>
      <c r="I30" s="48">
        <v>1.7</v>
      </c>
      <c r="J30" s="49">
        <v>1.1</v>
      </c>
      <c r="K30" s="50">
        <v>0.7</v>
      </c>
      <c r="L30" s="51" t="s">
        <v>169</v>
      </c>
      <c r="M30" s="52" t="s">
        <v>23</v>
      </c>
      <c r="N30" s="52" t="s">
        <v>57</v>
      </c>
      <c r="O30" s="53"/>
      <c r="P30" s="53"/>
      <c r="Q30" s="54" t="s">
        <v>58</v>
      </c>
      <c r="R30" s="53" t="s">
        <v>59</v>
      </c>
      <c r="S30" s="18"/>
      <c r="T30" s="18"/>
      <c r="U30" s="18"/>
      <c r="V30" s="18"/>
      <c r="W30" s="18"/>
      <c r="X30" s="18"/>
      <c r="Y30" s="18"/>
      <c r="Z30" s="18"/>
    </row>
    <row r="31" ht="13.5" customHeight="1">
      <c r="A31" s="47" t="s">
        <v>170</v>
      </c>
      <c r="B31" s="47" t="s">
        <v>95</v>
      </c>
      <c r="C31" s="47" t="s">
        <v>171</v>
      </c>
      <c r="D31" s="47" t="s">
        <v>53</v>
      </c>
      <c r="E31" s="47" t="s">
        <v>172</v>
      </c>
      <c r="F31" s="47" t="s">
        <v>108</v>
      </c>
      <c r="G31" s="48">
        <v>1.0</v>
      </c>
      <c r="H31" s="48">
        <v>1.2</v>
      </c>
      <c r="I31" s="48">
        <v>2.7</v>
      </c>
      <c r="J31" s="49">
        <v>1.8</v>
      </c>
      <c r="K31" s="50">
        <v>1.1</v>
      </c>
      <c r="L31" s="55" t="s">
        <v>169</v>
      </c>
      <c r="M31" s="52" t="s">
        <v>23</v>
      </c>
      <c r="N31" s="52" t="s">
        <v>57</v>
      </c>
      <c r="O31" s="53"/>
      <c r="P31" s="53"/>
      <c r="Q31" s="54" t="s">
        <v>58</v>
      </c>
      <c r="R31" s="53" t="s">
        <v>75</v>
      </c>
      <c r="S31" s="18"/>
      <c r="T31" s="18"/>
      <c r="U31" s="18"/>
      <c r="V31" s="18"/>
      <c r="W31" s="18"/>
      <c r="X31" s="18"/>
      <c r="Y31" s="18"/>
      <c r="Z31" s="18"/>
    </row>
    <row r="32" ht="13.5" customHeight="1">
      <c r="A32" s="47" t="s">
        <v>173</v>
      </c>
      <c r="B32" s="47" t="s">
        <v>174</v>
      </c>
      <c r="C32" s="47" t="s">
        <v>175</v>
      </c>
      <c r="D32" s="47" t="s">
        <v>53</v>
      </c>
      <c r="E32" s="47" t="s">
        <v>176</v>
      </c>
      <c r="F32" s="47" t="s">
        <v>19</v>
      </c>
      <c r="G32" s="48">
        <v>1.0</v>
      </c>
      <c r="H32" s="48">
        <v>0.9</v>
      </c>
      <c r="I32" s="48">
        <v>1.7</v>
      </c>
      <c r="J32" s="49">
        <v>1.1</v>
      </c>
      <c r="K32" s="50">
        <v>0.7</v>
      </c>
      <c r="L32" s="55" t="s">
        <v>169</v>
      </c>
      <c r="M32" s="52" t="s">
        <v>23</v>
      </c>
      <c r="N32" s="52" t="s">
        <v>57</v>
      </c>
      <c r="O32" s="53"/>
      <c r="P32" s="53"/>
      <c r="Q32" s="54" t="s">
        <v>58</v>
      </c>
      <c r="R32" s="53" t="s">
        <v>59</v>
      </c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47" t="s">
        <v>177</v>
      </c>
      <c r="B33" s="47" t="s">
        <v>174</v>
      </c>
      <c r="C33" s="47" t="s">
        <v>178</v>
      </c>
      <c r="D33" s="47" t="s">
        <v>53</v>
      </c>
      <c r="E33" s="47" t="s">
        <v>179</v>
      </c>
      <c r="F33" s="47" t="s">
        <v>19</v>
      </c>
      <c r="G33" s="48">
        <v>1.0</v>
      </c>
      <c r="H33" s="48">
        <v>0.9</v>
      </c>
      <c r="I33" s="48">
        <v>1.5</v>
      </c>
      <c r="J33" s="49">
        <v>1.0</v>
      </c>
      <c r="K33" s="50">
        <v>0.6</v>
      </c>
      <c r="L33" s="55" t="s">
        <v>169</v>
      </c>
      <c r="M33" s="52" t="s">
        <v>23</v>
      </c>
      <c r="N33" s="52" t="s">
        <v>141</v>
      </c>
      <c r="O33" s="53"/>
      <c r="P33" s="53"/>
      <c r="Q33" s="54" t="s">
        <v>58</v>
      </c>
      <c r="R33" s="53" t="s">
        <v>66</v>
      </c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47" t="s">
        <v>180</v>
      </c>
      <c r="B34" s="47" t="s">
        <v>174</v>
      </c>
      <c r="C34" s="47" t="s">
        <v>181</v>
      </c>
      <c r="D34" s="47" t="s">
        <v>53</v>
      </c>
      <c r="E34" s="47" t="s">
        <v>182</v>
      </c>
      <c r="F34" s="47" t="s">
        <v>108</v>
      </c>
      <c r="G34" s="48">
        <v>1.0</v>
      </c>
      <c r="H34" s="48">
        <v>1.2</v>
      </c>
      <c r="I34" s="48">
        <v>3.0</v>
      </c>
      <c r="J34" s="49">
        <v>2.1</v>
      </c>
      <c r="K34" s="50">
        <v>1.2</v>
      </c>
      <c r="L34" s="55" t="s">
        <v>169</v>
      </c>
      <c r="M34" s="52" t="s">
        <v>23</v>
      </c>
      <c r="N34" s="52" t="s">
        <v>141</v>
      </c>
      <c r="O34" s="53"/>
      <c r="P34" s="53"/>
      <c r="Q34" s="54" t="s">
        <v>58</v>
      </c>
      <c r="R34" s="53" t="s">
        <v>66</v>
      </c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47" t="s">
        <v>183</v>
      </c>
      <c r="B35" s="47" t="s">
        <v>174</v>
      </c>
      <c r="C35" s="47" t="s">
        <v>184</v>
      </c>
      <c r="D35" s="47" t="s">
        <v>53</v>
      </c>
      <c r="E35" s="47" t="s">
        <v>185</v>
      </c>
      <c r="F35" s="47" t="s">
        <v>108</v>
      </c>
      <c r="G35" s="48">
        <v>1.0</v>
      </c>
      <c r="H35" s="48">
        <v>1.1</v>
      </c>
      <c r="I35" s="48">
        <v>3.0</v>
      </c>
      <c r="J35" s="49">
        <v>2.1</v>
      </c>
      <c r="K35" s="50">
        <v>1.2</v>
      </c>
      <c r="L35" s="55" t="s">
        <v>169</v>
      </c>
      <c r="M35" s="52" t="s">
        <v>23</v>
      </c>
      <c r="N35" s="52" t="s">
        <v>141</v>
      </c>
      <c r="O35" s="53"/>
      <c r="P35" s="53"/>
      <c r="Q35" s="54" t="s">
        <v>58</v>
      </c>
      <c r="R35" s="53" t="s">
        <v>66</v>
      </c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47" t="s">
        <v>186</v>
      </c>
      <c r="B36" s="47" t="s">
        <v>113</v>
      </c>
      <c r="C36" s="47" t="s">
        <v>187</v>
      </c>
      <c r="D36" s="47" t="s">
        <v>53</v>
      </c>
      <c r="E36" s="47" t="s">
        <v>188</v>
      </c>
      <c r="F36" s="47" t="s">
        <v>19</v>
      </c>
      <c r="G36" s="48">
        <v>1.0</v>
      </c>
      <c r="H36" s="48">
        <v>0.9</v>
      </c>
      <c r="I36" s="48">
        <v>1.7</v>
      </c>
      <c r="J36" s="49">
        <v>1.1</v>
      </c>
      <c r="K36" s="50">
        <v>0.7</v>
      </c>
      <c r="L36" s="55" t="s">
        <v>169</v>
      </c>
      <c r="M36" s="52" t="s">
        <v>23</v>
      </c>
      <c r="N36" s="52" t="s">
        <v>57</v>
      </c>
      <c r="O36" s="53"/>
      <c r="P36" s="53"/>
      <c r="Q36" s="54" t="s">
        <v>58</v>
      </c>
      <c r="R36" s="53" t="s">
        <v>93</v>
      </c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47" t="s">
        <v>189</v>
      </c>
      <c r="B37" s="47" t="s">
        <v>190</v>
      </c>
      <c r="C37" s="47" t="s">
        <v>191</v>
      </c>
      <c r="D37" s="47" t="s">
        <v>53</v>
      </c>
      <c r="E37" s="47" t="s">
        <v>192</v>
      </c>
      <c r="F37" s="47" t="s">
        <v>108</v>
      </c>
      <c r="G37" s="48">
        <v>1.0</v>
      </c>
      <c r="H37" s="48">
        <v>1.1</v>
      </c>
      <c r="I37" s="48">
        <v>2.7</v>
      </c>
      <c r="J37" s="49">
        <v>1.8</v>
      </c>
      <c r="K37" s="50">
        <v>1.1</v>
      </c>
      <c r="L37" s="55" t="s">
        <v>169</v>
      </c>
      <c r="M37" s="52" t="s">
        <v>23</v>
      </c>
      <c r="N37" s="52" t="s">
        <v>57</v>
      </c>
      <c r="O37" s="53"/>
      <c r="P37" s="53"/>
      <c r="Q37" s="56" t="s">
        <v>58</v>
      </c>
      <c r="R37" s="53" t="s">
        <v>77</v>
      </c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47" t="s">
        <v>193</v>
      </c>
      <c r="B38" s="47" t="s">
        <v>190</v>
      </c>
      <c r="C38" s="47" t="s">
        <v>194</v>
      </c>
      <c r="D38" s="47" t="s">
        <v>53</v>
      </c>
      <c r="E38" s="47" t="s">
        <v>195</v>
      </c>
      <c r="F38" s="47" t="s">
        <v>19</v>
      </c>
      <c r="G38" s="48">
        <v>1.0</v>
      </c>
      <c r="H38" s="48">
        <v>0.9</v>
      </c>
      <c r="I38" s="48">
        <v>1.7</v>
      </c>
      <c r="J38" s="49">
        <v>1.1</v>
      </c>
      <c r="K38" s="50">
        <v>0.7</v>
      </c>
      <c r="L38" s="55" t="s">
        <v>169</v>
      </c>
      <c r="M38" s="52" t="s">
        <v>23</v>
      </c>
      <c r="N38" s="52" t="s">
        <v>57</v>
      </c>
      <c r="O38" s="53"/>
      <c r="P38" s="53"/>
      <c r="Q38" s="56" t="s">
        <v>58</v>
      </c>
      <c r="R38" s="53" t="s">
        <v>77</v>
      </c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47" t="s">
        <v>196</v>
      </c>
      <c r="B39" s="47" t="s">
        <v>190</v>
      </c>
      <c r="C39" s="47" t="s">
        <v>197</v>
      </c>
      <c r="D39" s="47" t="s">
        <v>53</v>
      </c>
      <c r="E39" s="47" t="s">
        <v>198</v>
      </c>
      <c r="F39" s="47" t="s">
        <v>108</v>
      </c>
      <c r="G39" s="48">
        <v>1.0</v>
      </c>
      <c r="H39" s="48">
        <v>1.1</v>
      </c>
      <c r="I39" s="48">
        <v>2.7</v>
      </c>
      <c r="J39" s="49">
        <v>1.8</v>
      </c>
      <c r="K39" s="50">
        <v>1.1</v>
      </c>
      <c r="L39" s="55" t="s">
        <v>169</v>
      </c>
      <c r="M39" s="52" t="s">
        <v>23</v>
      </c>
      <c r="N39" s="52" t="s">
        <v>57</v>
      </c>
      <c r="O39" s="53"/>
      <c r="P39" s="53"/>
      <c r="Q39" s="56" t="s">
        <v>58</v>
      </c>
      <c r="R39" s="53" t="s">
        <v>77</v>
      </c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47" t="s">
        <v>199</v>
      </c>
      <c r="B40" s="47" t="s">
        <v>200</v>
      </c>
      <c r="C40" s="47" t="s">
        <v>201</v>
      </c>
      <c r="D40" s="47" t="s">
        <v>53</v>
      </c>
      <c r="E40" s="47" t="s">
        <v>202</v>
      </c>
      <c r="F40" s="47" t="s">
        <v>19</v>
      </c>
      <c r="G40" s="48">
        <v>1.0</v>
      </c>
      <c r="H40" s="48">
        <v>0.9</v>
      </c>
      <c r="I40" s="48">
        <v>1.7</v>
      </c>
      <c r="J40" s="49">
        <v>1.1</v>
      </c>
      <c r="K40" s="50">
        <v>0.6</v>
      </c>
      <c r="L40" s="55" t="s">
        <v>169</v>
      </c>
      <c r="M40" s="52" t="s">
        <v>23</v>
      </c>
      <c r="N40" s="52" t="s">
        <v>57</v>
      </c>
      <c r="O40" s="53"/>
      <c r="P40" s="53"/>
      <c r="Q40" s="54" t="s">
        <v>58</v>
      </c>
      <c r="R40" s="53" t="s">
        <v>59</v>
      </c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47" t="s">
        <v>203</v>
      </c>
      <c r="B41" s="47" t="s">
        <v>190</v>
      </c>
      <c r="C41" s="47" t="s">
        <v>204</v>
      </c>
      <c r="D41" s="47" t="s">
        <v>53</v>
      </c>
      <c r="E41" s="47" t="s">
        <v>205</v>
      </c>
      <c r="F41" s="47" t="s">
        <v>19</v>
      </c>
      <c r="G41" s="48">
        <v>1.0</v>
      </c>
      <c r="H41" s="48">
        <v>0.9</v>
      </c>
      <c r="I41" s="48">
        <v>1.7</v>
      </c>
      <c r="J41" s="49">
        <v>1.1</v>
      </c>
      <c r="K41" s="50">
        <v>0.6</v>
      </c>
      <c r="L41" s="55" t="s">
        <v>169</v>
      </c>
      <c r="M41" s="52" t="s">
        <v>23</v>
      </c>
      <c r="N41" s="52" t="s">
        <v>57</v>
      </c>
      <c r="O41" s="53"/>
      <c r="P41" s="53"/>
      <c r="Q41" s="54" t="s">
        <v>58</v>
      </c>
      <c r="R41" s="53" t="s">
        <v>93</v>
      </c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47" t="s">
        <v>206</v>
      </c>
      <c r="B42" s="47" t="s">
        <v>207</v>
      </c>
      <c r="C42" s="47" t="s">
        <v>208</v>
      </c>
      <c r="D42" s="47" t="s">
        <v>53</v>
      </c>
      <c r="E42" s="47" t="s">
        <v>209</v>
      </c>
      <c r="F42" s="47" t="s">
        <v>108</v>
      </c>
      <c r="G42" s="48">
        <v>1.0</v>
      </c>
      <c r="H42" s="48">
        <v>1.1</v>
      </c>
      <c r="I42" s="48">
        <v>2.7</v>
      </c>
      <c r="J42" s="49">
        <v>1.8</v>
      </c>
      <c r="K42" s="50">
        <v>1.1</v>
      </c>
      <c r="L42" s="55" t="s">
        <v>169</v>
      </c>
      <c r="M42" s="52" t="s">
        <v>23</v>
      </c>
      <c r="N42" s="52" t="s">
        <v>57</v>
      </c>
      <c r="O42" s="53"/>
      <c r="P42" s="53"/>
      <c r="Q42" s="54" t="s">
        <v>58</v>
      </c>
      <c r="R42" s="53" t="s">
        <v>93</v>
      </c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47" t="s">
        <v>210</v>
      </c>
      <c r="B43" s="47" t="s">
        <v>95</v>
      </c>
      <c r="C43" s="47" t="s">
        <v>211</v>
      </c>
      <c r="D43" s="47" t="s">
        <v>53</v>
      </c>
      <c r="E43" s="47" t="s">
        <v>212</v>
      </c>
      <c r="F43" s="47" t="s">
        <v>19</v>
      </c>
      <c r="G43" s="48">
        <v>1.0</v>
      </c>
      <c r="H43" s="48">
        <v>0.9</v>
      </c>
      <c r="I43" s="48">
        <v>1.5</v>
      </c>
      <c r="J43" s="49">
        <v>1.0</v>
      </c>
      <c r="K43" s="50">
        <v>0.6</v>
      </c>
      <c r="L43" s="55" t="s">
        <v>169</v>
      </c>
      <c r="M43" s="52" t="s">
        <v>23</v>
      </c>
      <c r="N43" s="52" t="s">
        <v>57</v>
      </c>
      <c r="O43" s="53"/>
      <c r="P43" s="53"/>
      <c r="Q43" s="54" t="s">
        <v>58</v>
      </c>
      <c r="R43" s="53" t="s">
        <v>75</v>
      </c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8"/>
      <c r="O44" s="18"/>
      <c r="P44" s="18"/>
      <c r="Q44" s="18"/>
      <c r="R44" s="59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60" t="s">
        <v>213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57"/>
      <c r="N45" s="58"/>
      <c r="O45" s="18"/>
      <c r="P45" s="18"/>
      <c r="Q45" s="18"/>
      <c r="R45" s="59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61" t="s">
        <v>55</v>
      </c>
      <c r="B46" s="61" t="s">
        <v>214</v>
      </c>
      <c r="C46" s="61" t="s">
        <v>215</v>
      </c>
      <c r="D46" s="61"/>
      <c r="E46" s="61"/>
      <c r="F46" s="61"/>
      <c r="G46" s="61"/>
      <c r="H46" s="61"/>
      <c r="I46" s="61"/>
      <c r="J46" s="61"/>
      <c r="K46" s="61"/>
      <c r="L46" s="61"/>
      <c r="M46" s="57"/>
      <c r="N46" s="58"/>
      <c r="O46" s="18"/>
      <c r="P46" s="18"/>
      <c r="Q46" s="18"/>
      <c r="R46" s="59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61" t="s">
        <v>19</v>
      </c>
      <c r="B47" s="61" t="s">
        <v>216</v>
      </c>
      <c r="C47" s="61" t="s">
        <v>217</v>
      </c>
      <c r="D47" s="61"/>
      <c r="E47" s="61"/>
      <c r="F47" s="61"/>
      <c r="G47" s="62" t="s">
        <v>44</v>
      </c>
      <c r="H47" s="62" t="s">
        <v>218</v>
      </c>
      <c r="I47" s="62" t="s">
        <v>39</v>
      </c>
      <c r="J47" s="62" t="s">
        <v>40</v>
      </c>
      <c r="K47" s="62" t="s">
        <v>41</v>
      </c>
      <c r="L47" s="62" t="s">
        <v>42</v>
      </c>
      <c r="M47" s="62" t="s">
        <v>43</v>
      </c>
      <c r="N47" s="62" t="s">
        <v>219</v>
      </c>
      <c r="O47" s="18"/>
      <c r="P47" s="18"/>
      <c r="Q47" s="18"/>
      <c r="R47" s="59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61" t="s">
        <v>108</v>
      </c>
      <c r="B48" s="61" t="s">
        <v>220</v>
      </c>
      <c r="C48" s="61" t="s">
        <v>221</v>
      </c>
      <c r="D48" s="61"/>
      <c r="E48" s="61"/>
      <c r="F48" s="61"/>
      <c r="G48" s="63" t="s">
        <v>56</v>
      </c>
      <c r="H48" s="64">
        <f t="shared" ref="H48:H50" si="1">COUNTIF($L$2:$L$43,G48)</f>
        <v>15</v>
      </c>
      <c r="I48" s="64">
        <f t="shared" ref="I48:I50" si="2">SUMIF($L$2:$L$43,$G48,$G$2:$G$43)</f>
        <v>15</v>
      </c>
      <c r="J48" s="64">
        <f t="shared" ref="J48:J50" si="3">SUMIF($L$2:$L$43,$G48,$H$2:$H$43)</f>
        <v>16</v>
      </c>
      <c r="K48" s="64">
        <f t="shared" ref="K48:K50" si="4">SUMIF($L$2:$L$43,$G48,$I$2:$I$43)</f>
        <v>46</v>
      </c>
      <c r="L48" s="64">
        <f t="shared" ref="L48:L50" si="5">SUMIF($L$2:$L$43,$G48,$J$2:$J$43)</f>
        <v>17</v>
      </c>
      <c r="M48" s="64">
        <f t="shared" ref="M48:M50" si="6">SUMIF($L$2:$L$43,$G48,$K$2:$K$43)</f>
        <v>7</v>
      </c>
      <c r="N48" s="64">
        <f t="shared" ref="N48:N50" si="7">SUM(I48:M48)</f>
        <v>101</v>
      </c>
      <c r="O48" s="18"/>
      <c r="P48" s="18"/>
      <c r="Q48" s="18"/>
      <c r="R48" s="59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61" t="s">
        <v>222</v>
      </c>
      <c r="B49" s="61"/>
      <c r="C49" s="61"/>
      <c r="D49" s="61"/>
      <c r="E49" s="61"/>
      <c r="F49" s="61"/>
      <c r="G49" s="63" t="s">
        <v>122</v>
      </c>
      <c r="H49" s="64">
        <f t="shared" si="1"/>
        <v>13</v>
      </c>
      <c r="I49" s="64">
        <f t="shared" si="2"/>
        <v>13</v>
      </c>
      <c r="J49" s="64">
        <f t="shared" si="3"/>
        <v>13</v>
      </c>
      <c r="K49" s="64">
        <f t="shared" si="4"/>
        <v>48</v>
      </c>
      <c r="L49" s="64">
        <f t="shared" si="5"/>
        <v>16</v>
      </c>
      <c r="M49" s="64">
        <f t="shared" si="6"/>
        <v>10</v>
      </c>
      <c r="N49" s="64">
        <f t="shared" si="7"/>
        <v>100</v>
      </c>
      <c r="O49" s="18"/>
      <c r="P49" s="18"/>
      <c r="Q49" s="18"/>
      <c r="R49" s="59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61" t="s">
        <v>223</v>
      </c>
      <c r="B50" s="61"/>
      <c r="C50" s="61"/>
      <c r="D50" s="61"/>
      <c r="E50" s="61"/>
      <c r="F50" s="61"/>
      <c r="G50" s="63" t="s">
        <v>169</v>
      </c>
      <c r="H50" s="64">
        <f t="shared" si="1"/>
        <v>14</v>
      </c>
      <c r="I50" s="64">
        <f t="shared" si="2"/>
        <v>14</v>
      </c>
      <c r="J50" s="64">
        <f t="shared" si="3"/>
        <v>14</v>
      </c>
      <c r="K50" s="64">
        <f t="shared" si="4"/>
        <v>30</v>
      </c>
      <c r="L50" s="64">
        <f t="shared" si="5"/>
        <v>20</v>
      </c>
      <c r="M50" s="64">
        <f t="shared" si="6"/>
        <v>12</v>
      </c>
      <c r="N50" s="64">
        <f t="shared" si="7"/>
        <v>90</v>
      </c>
      <c r="O50" s="18"/>
      <c r="P50" s="18"/>
      <c r="Q50" s="18"/>
      <c r="R50" s="59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61" t="s">
        <v>224</v>
      </c>
      <c r="B51" s="61"/>
      <c r="C51" s="61"/>
      <c r="D51" s="61"/>
      <c r="E51" s="61"/>
      <c r="F51" s="61"/>
      <c r="G51" s="65" t="s">
        <v>225</v>
      </c>
      <c r="H51" s="66">
        <f t="shared" ref="H51:N51" si="8">SUM(H48:H50)</f>
        <v>42</v>
      </c>
      <c r="I51" s="66">
        <f t="shared" si="8"/>
        <v>42</v>
      </c>
      <c r="J51" s="66">
        <f t="shared" si="8"/>
        <v>43</v>
      </c>
      <c r="K51" s="66">
        <f t="shared" si="8"/>
        <v>124</v>
      </c>
      <c r="L51" s="66">
        <f t="shared" si="8"/>
        <v>53</v>
      </c>
      <c r="M51" s="66">
        <f t="shared" si="8"/>
        <v>29</v>
      </c>
      <c r="N51" s="66">
        <f t="shared" si="8"/>
        <v>291</v>
      </c>
      <c r="O51" s="18"/>
      <c r="P51" s="18"/>
      <c r="Q51" s="18"/>
      <c r="R51" s="59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3"/>
      <c r="O52" s="18"/>
      <c r="P52" s="18"/>
      <c r="Q52" s="18"/>
      <c r="R52" s="59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6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3"/>
      <c r="O53" s="18"/>
      <c r="P53" s="18"/>
      <c r="Q53" s="18"/>
      <c r="R53" s="59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6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3"/>
      <c r="O54" s="18"/>
      <c r="P54" s="18"/>
      <c r="Q54" s="18"/>
      <c r="R54" s="59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3"/>
      <c r="O55" s="18"/>
      <c r="P55" s="18"/>
      <c r="Q55" s="18"/>
      <c r="R55" s="59"/>
      <c r="S55" s="18"/>
      <c r="T55" s="18"/>
      <c r="U55" s="18"/>
      <c r="V55" s="18"/>
      <c r="W55" s="18"/>
      <c r="X55" s="18"/>
      <c r="Y55" s="18"/>
      <c r="Z55" s="18"/>
    </row>
    <row r="56" ht="13.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3"/>
      <c r="O56" s="18"/>
      <c r="P56" s="18"/>
      <c r="Q56" s="18"/>
      <c r="R56" s="59"/>
      <c r="S56" s="18"/>
      <c r="T56" s="18"/>
      <c r="U56" s="18"/>
      <c r="V56" s="18"/>
      <c r="W56" s="18"/>
      <c r="X56" s="18"/>
      <c r="Y56" s="18"/>
      <c r="Z56" s="18"/>
    </row>
    <row r="57" ht="13.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3"/>
      <c r="O57" s="18"/>
      <c r="P57" s="18"/>
      <c r="Q57" s="18"/>
      <c r="R57" s="59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3"/>
      <c r="O58" s="18"/>
      <c r="P58" s="18"/>
      <c r="Q58" s="18"/>
      <c r="R58" s="59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3"/>
      <c r="O59" s="18"/>
      <c r="P59" s="18"/>
      <c r="Q59" s="18"/>
      <c r="R59" s="59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3"/>
      <c r="O60" s="18"/>
      <c r="P60" s="18"/>
      <c r="Q60" s="18"/>
      <c r="R60" s="59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3"/>
      <c r="O61" s="18"/>
      <c r="P61" s="18"/>
      <c r="Q61" s="18"/>
      <c r="R61" s="59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3"/>
      <c r="O62" s="18"/>
      <c r="P62" s="18"/>
      <c r="Q62" s="18"/>
      <c r="R62" s="59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3"/>
      <c r="O63" s="18"/>
      <c r="P63" s="18"/>
      <c r="Q63" s="18"/>
      <c r="R63" s="59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3"/>
      <c r="O64" s="18"/>
      <c r="P64" s="18"/>
      <c r="Q64" s="18"/>
      <c r="R64" s="59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3"/>
      <c r="O65" s="18"/>
      <c r="P65" s="18"/>
      <c r="Q65" s="18"/>
      <c r="R65" s="59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3"/>
      <c r="O66" s="18"/>
      <c r="P66" s="18"/>
      <c r="Q66" s="18"/>
      <c r="R66" s="59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3"/>
      <c r="O67" s="18"/>
      <c r="P67" s="18"/>
      <c r="Q67" s="18"/>
      <c r="R67" s="59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3"/>
      <c r="O68" s="18"/>
      <c r="P68" s="18"/>
      <c r="Q68" s="18"/>
      <c r="R68" s="59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3"/>
      <c r="O69" s="18"/>
      <c r="P69" s="18"/>
      <c r="Q69" s="18"/>
      <c r="R69" s="59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3"/>
      <c r="O70" s="18"/>
      <c r="P70" s="18"/>
      <c r="Q70" s="18"/>
      <c r="R70" s="59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3"/>
      <c r="O71" s="18"/>
      <c r="P71" s="18"/>
      <c r="Q71" s="18"/>
      <c r="R71" s="59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3"/>
      <c r="O72" s="18"/>
      <c r="P72" s="18"/>
      <c r="Q72" s="18"/>
      <c r="R72" s="59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3"/>
      <c r="O73" s="18"/>
      <c r="P73" s="18"/>
      <c r="Q73" s="18"/>
      <c r="R73" s="59"/>
      <c r="S73" s="18"/>
      <c r="T73" s="18"/>
      <c r="U73" s="18"/>
      <c r="V73" s="18"/>
      <c r="W73" s="18"/>
      <c r="X73" s="18"/>
      <c r="Y73" s="18"/>
      <c r="Z73" s="18"/>
    </row>
    <row r="74" ht="13.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3"/>
      <c r="O74" s="18"/>
      <c r="P74" s="18"/>
      <c r="Q74" s="18"/>
      <c r="R74" s="59"/>
      <c r="S74" s="18"/>
      <c r="T74" s="18"/>
      <c r="U74" s="18"/>
      <c r="V74" s="18"/>
      <c r="W74" s="18"/>
      <c r="X74" s="18"/>
      <c r="Y74" s="18"/>
      <c r="Z74" s="18"/>
    </row>
    <row r="75" ht="13.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3"/>
      <c r="O75" s="18"/>
      <c r="P75" s="18"/>
      <c r="Q75" s="18"/>
      <c r="R75" s="59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3"/>
      <c r="O76" s="18"/>
      <c r="P76" s="18"/>
      <c r="Q76" s="18"/>
      <c r="R76" s="59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3"/>
      <c r="O77" s="18"/>
      <c r="P77" s="18"/>
      <c r="Q77" s="18"/>
      <c r="R77" s="59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3"/>
      <c r="O78" s="18"/>
      <c r="P78" s="18"/>
      <c r="Q78" s="18"/>
      <c r="R78" s="59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3"/>
      <c r="O79" s="18"/>
      <c r="P79" s="18"/>
      <c r="Q79" s="18"/>
      <c r="R79" s="59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3"/>
      <c r="O80" s="18"/>
      <c r="P80" s="18"/>
      <c r="Q80" s="18"/>
      <c r="R80" s="59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3"/>
      <c r="O81" s="18"/>
      <c r="P81" s="18"/>
      <c r="Q81" s="18"/>
      <c r="R81" s="59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3"/>
      <c r="O82" s="18"/>
      <c r="P82" s="18"/>
      <c r="Q82" s="18"/>
      <c r="R82" s="59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3"/>
      <c r="O83" s="18"/>
      <c r="P83" s="18"/>
      <c r="Q83" s="18"/>
      <c r="R83" s="59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3"/>
      <c r="O84" s="18"/>
      <c r="P84" s="18"/>
      <c r="Q84" s="18"/>
      <c r="R84" s="59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3"/>
      <c r="O85" s="18"/>
      <c r="P85" s="18"/>
      <c r="Q85" s="18"/>
      <c r="R85" s="59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3"/>
      <c r="O86" s="18"/>
      <c r="P86" s="18"/>
      <c r="Q86" s="18"/>
      <c r="R86" s="59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3"/>
      <c r="O87" s="18"/>
      <c r="P87" s="18"/>
      <c r="Q87" s="18"/>
      <c r="R87" s="59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3"/>
      <c r="O88" s="18"/>
      <c r="P88" s="18"/>
      <c r="Q88" s="18"/>
      <c r="R88" s="59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3"/>
      <c r="O89" s="18"/>
      <c r="P89" s="18"/>
      <c r="Q89" s="18"/>
      <c r="R89" s="59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3"/>
      <c r="O90" s="18"/>
      <c r="P90" s="18"/>
      <c r="Q90" s="18"/>
      <c r="R90" s="59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3"/>
      <c r="O91" s="18"/>
      <c r="P91" s="18"/>
      <c r="Q91" s="18"/>
      <c r="R91" s="59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3"/>
      <c r="O92" s="18"/>
      <c r="P92" s="18"/>
      <c r="Q92" s="18"/>
      <c r="R92" s="59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3"/>
      <c r="O93" s="18"/>
      <c r="P93" s="18"/>
      <c r="Q93" s="18"/>
      <c r="R93" s="59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3"/>
      <c r="O94" s="18"/>
      <c r="P94" s="18"/>
      <c r="Q94" s="18"/>
      <c r="R94" s="59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3"/>
      <c r="O95" s="18"/>
      <c r="P95" s="18"/>
      <c r="Q95" s="18"/>
      <c r="R95" s="59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3"/>
      <c r="O96" s="18"/>
      <c r="P96" s="18"/>
      <c r="Q96" s="18"/>
      <c r="R96" s="59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3"/>
      <c r="O97" s="18"/>
      <c r="P97" s="18"/>
      <c r="Q97" s="18"/>
      <c r="R97" s="59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3"/>
      <c r="O98" s="18"/>
      <c r="P98" s="18"/>
      <c r="Q98" s="18"/>
      <c r="R98" s="59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3"/>
      <c r="O99" s="18"/>
      <c r="P99" s="18"/>
      <c r="Q99" s="18"/>
      <c r="R99" s="59"/>
      <c r="S99" s="18"/>
      <c r="T99" s="18"/>
      <c r="U99" s="18"/>
      <c r="V99" s="18"/>
      <c r="W99" s="18"/>
      <c r="X99" s="18"/>
      <c r="Y99" s="18"/>
      <c r="Z99" s="18"/>
    </row>
    <row r="100" ht="13.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3"/>
      <c r="O100" s="18"/>
      <c r="P100" s="18"/>
      <c r="Q100" s="18"/>
      <c r="R100" s="59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3"/>
      <c r="O101" s="18"/>
      <c r="P101" s="18"/>
      <c r="Q101" s="18"/>
      <c r="R101" s="59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3"/>
      <c r="O102" s="18"/>
      <c r="P102" s="18"/>
      <c r="Q102" s="18"/>
      <c r="R102" s="59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3"/>
      <c r="O103" s="18"/>
      <c r="P103" s="18"/>
      <c r="Q103" s="18"/>
      <c r="R103" s="59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3"/>
      <c r="O104" s="18"/>
      <c r="P104" s="18"/>
      <c r="Q104" s="18"/>
      <c r="R104" s="59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3"/>
      <c r="O105" s="18"/>
      <c r="P105" s="18"/>
      <c r="Q105" s="18"/>
      <c r="R105" s="59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3"/>
      <c r="O106" s="18"/>
      <c r="P106" s="18"/>
      <c r="Q106" s="18"/>
      <c r="R106" s="59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3"/>
      <c r="O107" s="18"/>
      <c r="P107" s="18"/>
      <c r="Q107" s="18"/>
      <c r="R107" s="59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3"/>
      <c r="O108" s="18"/>
      <c r="P108" s="18"/>
      <c r="Q108" s="18"/>
      <c r="R108" s="59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3"/>
      <c r="O109" s="18"/>
      <c r="P109" s="18"/>
      <c r="Q109" s="18"/>
      <c r="R109" s="59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3"/>
      <c r="O110" s="18"/>
      <c r="P110" s="18"/>
      <c r="Q110" s="18"/>
      <c r="R110" s="59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3"/>
      <c r="O111" s="18"/>
      <c r="P111" s="18"/>
      <c r="Q111" s="18"/>
      <c r="R111" s="59"/>
      <c r="S111" s="18"/>
      <c r="T111" s="18"/>
      <c r="U111" s="18"/>
      <c r="V111" s="18"/>
      <c r="W111" s="18"/>
      <c r="X111" s="18"/>
      <c r="Y111" s="18"/>
      <c r="Z111" s="18"/>
    </row>
    <row r="112" ht="13.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3"/>
      <c r="O112" s="18"/>
      <c r="P112" s="18"/>
      <c r="Q112" s="18"/>
      <c r="R112" s="59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3"/>
      <c r="O113" s="18"/>
      <c r="P113" s="18"/>
      <c r="Q113" s="18"/>
      <c r="R113" s="59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3"/>
      <c r="O114" s="18"/>
      <c r="P114" s="18"/>
      <c r="Q114" s="18"/>
      <c r="R114" s="59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3"/>
      <c r="O115" s="18"/>
      <c r="P115" s="18"/>
      <c r="Q115" s="18"/>
      <c r="R115" s="59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3"/>
      <c r="O116" s="18"/>
      <c r="P116" s="18"/>
      <c r="Q116" s="18"/>
      <c r="R116" s="59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3"/>
      <c r="O117" s="18"/>
      <c r="P117" s="18"/>
      <c r="Q117" s="18"/>
      <c r="R117" s="59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3"/>
      <c r="O118" s="18"/>
      <c r="P118" s="18"/>
      <c r="Q118" s="18"/>
      <c r="R118" s="59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3"/>
      <c r="O119" s="18"/>
      <c r="P119" s="18"/>
      <c r="Q119" s="18"/>
      <c r="R119" s="59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3"/>
      <c r="O120" s="18"/>
      <c r="P120" s="18"/>
      <c r="Q120" s="18"/>
      <c r="R120" s="59"/>
      <c r="S120" s="18"/>
      <c r="T120" s="18"/>
      <c r="U120" s="18"/>
      <c r="V120" s="18"/>
      <c r="W120" s="18"/>
      <c r="X120" s="18"/>
      <c r="Y120" s="18"/>
      <c r="Z120" s="18"/>
    </row>
    <row r="121" ht="13.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3"/>
      <c r="O121" s="18"/>
      <c r="P121" s="18"/>
      <c r="Q121" s="18"/>
      <c r="R121" s="59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3"/>
      <c r="O122" s="18"/>
      <c r="P122" s="18"/>
      <c r="Q122" s="18"/>
      <c r="R122" s="59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3"/>
      <c r="O123" s="18"/>
      <c r="P123" s="18"/>
      <c r="Q123" s="18"/>
      <c r="R123" s="59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3"/>
      <c r="O124" s="18"/>
      <c r="P124" s="18"/>
      <c r="Q124" s="18"/>
      <c r="R124" s="59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3"/>
      <c r="O125" s="18"/>
      <c r="P125" s="18"/>
      <c r="Q125" s="18"/>
      <c r="R125" s="59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3"/>
      <c r="O126" s="18"/>
      <c r="P126" s="18"/>
      <c r="Q126" s="18"/>
      <c r="R126" s="59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3"/>
      <c r="O127" s="18"/>
      <c r="P127" s="18"/>
      <c r="Q127" s="18"/>
      <c r="R127" s="59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3"/>
      <c r="O128" s="18"/>
      <c r="P128" s="18"/>
      <c r="Q128" s="18"/>
      <c r="R128" s="59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3"/>
      <c r="O129" s="18"/>
      <c r="P129" s="18"/>
      <c r="Q129" s="18"/>
      <c r="R129" s="59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3"/>
      <c r="O130" s="18"/>
      <c r="P130" s="18"/>
      <c r="Q130" s="18"/>
      <c r="R130" s="59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3"/>
      <c r="O131" s="18"/>
      <c r="P131" s="18"/>
      <c r="Q131" s="18"/>
      <c r="R131" s="59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3"/>
      <c r="O132" s="18"/>
      <c r="P132" s="18"/>
      <c r="Q132" s="18"/>
      <c r="R132" s="59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3"/>
      <c r="O133" s="18"/>
      <c r="P133" s="18"/>
      <c r="Q133" s="18"/>
      <c r="R133" s="59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3"/>
      <c r="O134" s="18"/>
      <c r="P134" s="18"/>
      <c r="Q134" s="18"/>
      <c r="R134" s="59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3"/>
      <c r="O135" s="18"/>
      <c r="P135" s="18"/>
      <c r="Q135" s="18"/>
      <c r="R135" s="59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3"/>
      <c r="O136" s="18"/>
      <c r="P136" s="18"/>
      <c r="Q136" s="18"/>
      <c r="R136" s="59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3"/>
      <c r="O137" s="18"/>
      <c r="P137" s="18"/>
      <c r="Q137" s="18"/>
      <c r="R137" s="59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3"/>
      <c r="O138" s="18"/>
      <c r="P138" s="18"/>
      <c r="Q138" s="18"/>
      <c r="R138" s="59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3"/>
      <c r="O139" s="18"/>
      <c r="P139" s="18"/>
      <c r="Q139" s="18"/>
      <c r="R139" s="59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3"/>
      <c r="O140" s="18"/>
      <c r="P140" s="18"/>
      <c r="Q140" s="18"/>
      <c r="R140" s="59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3"/>
      <c r="O141" s="18"/>
      <c r="P141" s="18"/>
      <c r="Q141" s="18"/>
      <c r="R141" s="59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3"/>
      <c r="O142" s="18"/>
      <c r="P142" s="18"/>
      <c r="Q142" s="18"/>
      <c r="R142" s="59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3"/>
      <c r="O143" s="18"/>
      <c r="P143" s="18"/>
      <c r="Q143" s="18"/>
      <c r="R143" s="59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3"/>
      <c r="O144" s="18"/>
      <c r="P144" s="18"/>
      <c r="Q144" s="18"/>
      <c r="R144" s="59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3"/>
      <c r="O145" s="18"/>
      <c r="P145" s="18"/>
      <c r="Q145" s="18"/>
      <c r="R145" s="59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3"/>
      <c r="O146" s="18"/>
      <c r="P146" s="18"/>
      <c r="Q146" s="18"/>
      <c r="R146" s="59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3"/>
      <c r="O147" s="18"/>
      <c r="P147" s="18"/>
      <c r="Q147" s="18"/>
      <c r="R147" s="59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3"/>
      <c r="O148" s="18"/>
      <c r="P148" s="18"/>
      <c r="Q148" s="18"/>
      <c r="R148" s="59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3"/>
      <c r="O149" s="18"/>
      <c r="P149" s="18"/>
      <c r="Q149" s="18"/>
      <c r="R149" s="59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3"/>
      <c r="O150" s="18"/>
      <c r="P150" s="18"/>
      <c r="Q150" s="18"/>
      <c r="R150" s="59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3"/>
      <c r="O151" s="18"/>
      <c r="P151" s="18"/>
      <c r="Q151" s="18"/>
      <c r="R151" s="59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3"/>
      <c r="O152" s="18"/>
      <c r="P152" s="18"/>
      <c r="Q152" s="18"/>
      <c r="R152" s="59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3"/>
      <c r="O153" s="18"/>
      <c r="P153" s="18"/>
      <c r="Q153" s="18"/>
      <c r="R153" s="59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3"/>
      <c r="O154" s="18"/>
      <c r="P154" s="18"/>
      <c r="Q154" s="18"/>
      <c r="R154" s="59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3"/>
      <c r="O155" s="18"/>
      <c r="P155" s="18"/>
      <c r="Q155" s="18"/>
      <c r="R155" s="59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3"/>
      <c r="O156" s="18"/>
      <c r="P156" s="18"/>
      <c r="Q156" s="18"/>
      <c r="R156" s="59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3"/>
      <c r="O157" s="18"/>
      <c r="P157" s="18"/>
      <c r="Q157" s="18"/>
      <c r="R157" s="59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3"/>
      <c r="O158" s="18"/>
      <c r="P158" s="18"/>
      <c r="Q158" s="18"/>
      <c r="R158" s="59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3"/>
      <c r="O159" s="18"/>
      <c r="P159" s="18"/>
      <c r="Q159" s="18"/>
      <c r="R159" s="59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3"/>
      <c r="O160" s="18"/>
      <c r="P160" s="18"/>
      <c r="Q160" s="18"/>
      <c r="R160" s="59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3"/>
      <c r="O161" s="18"/>
      <c r="P161" s="18"/>
      <c r="Q161" s="18"/>
      <c r="R161" s="59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3"/>
      <c r="O162" s="18"/>
      <c r="P162" s="18"/>
      <c r="Q162" s="18"/>
      <c r="R162" s="59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3"/>
      <c r="O163" s="18"/>
      <c r="P163" s="18"/>
      <c r="Q163" s="18"/>
      <c r="R163" s="59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3"/>
      <c r="O164" s="18"/>
      <c r="P164" s="18"/>
      <c r="Q164" s="18"/>
      <c r="R164" s="59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3"/>
      <c r="O165" s="18"/>
      <c r="P165" s="18"/>
      <c r="Q165" s="18"/>
      <c r="R165" s="59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3"/>
      <c r="O166" s="18"/>
      <c r="P166" s="18"/>
      <c r="Q166" s="18"/>
      <c r="R166" s="59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3"/>
      <c r="O167" s="18"/>
      <c r="P167" s="18"/>
      <c r="Q167" s="18"/>
      <c r="R167" s="59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3"/>
      <c r="O168" s="18"/>
      <c r="P168" s="18"/>
      <c r="Q168" s="18"/>
      <c r="R168" s="59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3"/>
      <c r="O169" s="18"/>
      <c r="P169" s="18"/>
      <c r="Q169" s="18"/>
      <c r="R169" s="59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3"/>
      <c r="O170" s="18"/>
      <c r="P170" s="18"/>
      <c r="Q170" s="18"/>
      <c r="R170" s="59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3"/>
      <c r="O171" s="18"/>
      <c r="P171" s="18"/>
      <c r="Q171" s="18"/>
      <c r="R171" s="59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3"/>
      <c r="O172" s="18"/>
      <c r="P172" s="18"/>
      <c r="Q172" s="18"/>
      <c r="R172" s="59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3"/>
      <c r="O173" s="18"/>
      <c r="P173" s="18"/>
      <c r="Q173" s="18"/>
      <c r="R173" s="59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3"/>
      <c r="O174" s="18"/>
      <c r="P174" s="18"/>
      <c r="Q174" s="18"/>
      <c r="R174" s="59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3"/>
      <c r="O175" s="18"/>
      <c r="P175" s="18"/>
      <c r="Q175" s="18"/>
      <c r="R175" s="59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3"/>
      <c r="O176" s="18"/>
      <c r="P176" s="18"/>
      <c r="Q176" s="18"/>
      <c r="R176" s="59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3"/>
      <c r="O177" s="18"/>
      <c r="P177" s="18"/>
      <c r="Q177" s="18"/>
      <c r="R177" s="59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3"/>
      <c r="O178" s="18"/>
      <c r="P178" s="18"/>
      <c r="Q178" s="18"/>
      <c r="R178" s="59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3"/>
      <c r="O179" s="18"/>
      <c r="P179" s="18"/>
      <c r="Q179" s="18"/>
      <c r="R179" s="59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3"/>
      <c r="O180" s="18"/>
      <c r="P180" s="18"/>
      <c r="Q180" s="18"/>
      <c r="R180" s="59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3"/>
      <c r="O181" s="18"/>
      <c r="P181" s="18"/>
      <c r="Q181" s="18"/>
      <c r="R181" s="59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3"/>
      <c r="O182" s="18"/>
      <c r="P182" s="18"/>
      <c r="Q182" s="18"/>
      <c r="R182" s="59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3"/>
      <c r="O183" s="18"/>
      <c r="P183" s="18"/>
      <c r="Q183" s="18"/>
      <c r="R183" s="59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3"/>
      <c r="O184" s="18"/>
      <c r="P184" s="18"/>
      <c r="Q184" s="18"/>
      <c r="R184" s="59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3"/>
      <c r="O185" s="18"/>
      <c r="P185" s="18"/>
      <c r="Q185" s="18"/>
      <c r="R185" s="59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3"/>
      <c r="O186" s="18"/>
      <c r="P186" s="18"/>
      <c r="Q186" s="18"/>
      <c r="R186" s="59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3"/>
      <c r="O187" s="18"/>
      <c r="P187" s="18"/>
      <c r="Q187" s="18"/>
      <c r="R187" s="59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3"/>
      <c r="O188" s="18"/>
      <c r="P188" s="18"/>
      <c r="Q188" s="18"/>
      <c r="R188" s="59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3"/>
      <c r="O189" s="18"/>
      <c r="P189" s="18"/>
      <c r="Q189" s="18"/>
      <c r="R189" s="59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3"/>
      <c r="O190" s="18"/>
      <c r="P190" s="18"/>
      <c r="Q190" s="18"/>
      <c r="R190" s="59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3"/>
      <c r="O191" s="18"/>
      <c r="P191" s="18"/>
      <c r="Q191" s="18"/>
      <c r="R191" s="59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3"/>
      <c r="O192" s="18"/>
      <c r="P192" s="18"/>
      <c r="Q192" s="18"/>
      <c r="R192" s="59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3"/>
      <c r="O193" s="18"/>
      <c r="P193" s="18"/>
      <c r="Q193" s="18"/>
      <c r="R193" s="59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3"/>
      <c r="O194" s="18"/>
      <c r="P194" s="18"/>
      <c r="Q194" s="18"/>
      <c r="R194" s="59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3"/>
      <c r="O195" s="18"/>
      <c r="P195" s="18"/>
      <c r="Q195" s="18"/>
      <c r="R195" s="59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3"/>
      <c r="O196" s="18"/>
      <c r="P196" s="18"/>
      <c r="Q196" s="18"/>
      <c r="R196" s="59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3"/>
      <c r="O197" s="18"/>
      <c r="P197" s="18"/>
      <c r="Q197" s="18"/>
      <c r="R197" s="59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3"/>
      <c r="O198" s="18"/>
      <c r="P198" s="18"/>
      <c r="Q198" s="18"/>
      <c r="R198" s="59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3"/>
      <c r="O199" s="18"/>
      <c r="P199" s="18"/>
      <c r="Q199" s="18"/>
      <c r="R199" s="59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3"/>
      <c r="O200" s="18"/>
      <c r="P200" s="18"/>
      <c r="Q200" s="18"/>
      <c r="R200" s="59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3"/>
      <c r="O201" s="18"/>
      <c r="P201" s="18"/>
      <c r="Q201" s="18"/>
      <c r="R201" s="59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3"/>
      <c r="O202" s="18"/>
      <c r="P202" s="18"/>
      <c r="Q202" s="18"/>
      <c r="R202" s="59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3"/>
      <c r="O203" s="18"/>
      <c r="P203" s="18"/>
      <c r="Q203" s="18"/>
      <c r="R203" s="59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3"/>
      <c r="O204" s="18"/>
      <c r="P204" s="18"/>
      <c r="Q204" s="18"/>
      <c r="R204" s="59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3"/>
      <c r="O205" s="18"/>
      <c r="P205" s="18"/>
      <c r="Q205" s="18"/>
      <c r="R205" s="59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3"/>
      <c r="O206" s="18"/>
      <c r="P206" s="18"/>
      <c r="Q206" s="18"/>
      <c r="R206" s="59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3"/>
      <c r="O207" s="18"/>
      <c r="P207" s="18"/>
      <c r="Q207" s="18"/>
      <c r="R207" s="59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3"/>
      <c r="O208" s="18"/>
      <c r="P208" s="18"/>
      <c r="Q208" s="18"/>
      <c r="R208" s="59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3"/>
      <c r="O209" s="18"/>
      <c r="P209" s="18"/>
      <c r="Q209" s="18"/>
      <c r="R209" s="59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3"/>
      <c r="O210" s="18"/>
      <c r="P210" s="18"/>
      <c r="Q210" s="18"/>
      <c r="R210" s="59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3"/>
      <c r="O211" s="18"/>
      <c r="P211" s="18"/>
      <c r="Q211" s="18"/>
      <c r="R211" s="59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3"/>
      <c r="O212" s="18"/>
      <c r="P212" s="18"/>
      <c r="Q212" s="18"/>
      <c r="R212" s="59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3"/>
      <c r="O213" s="18"/>
      <c r="P213" s="18"/>
      <c r="Q213" s="18"/>
      <c r="R213" s="59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3"/>
      <c r="O214" s="18"/>
      <c r="P214" s="18"/>
      <c r="Q214" s="18"/>
      <c r="R214" s="59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3"/>
      <c r="O215" s="18"/>
      <c r="P215" s="18"/>
      <c r="Q215" s="18"/>
      <c r="R215" s="59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3"/>
      <c r="O216" s="18"/>
      <c r="P216" s="18"/>
      <c r="Q216" s="18"/>
      <c r="R216" s="59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3"/>
      <c r="O217" s="18"/>
      <c r="P217" s="18"/>
      <c r="Q217" s="18"/>
      <c r="R217" s="59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3"/>
      <c r="O218" s="18"/>
      <c r="P218" s="18"/>
      <c r="Q218" s="18"/>
      <c r="R218" s="59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3"/>
      <c r="O219" s="18"/>
      <c r="P219" s="18"/>
      <c r="Q219" s="18"/>
      <c r="R219" s="59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3"/>
      <c r="O220" s="18"/>
      <c r="P220" s="18"/>
      <c r="Q220" s="18"/>
      <c r="R220" s="59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3"/>
      <c r="O221" s="18"/>
      <c r="P221" s="18"/>
      <c r="Q221" s="18"/>
      <c r="R221" s="59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3"/>
      <c r="B222" s="6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8"/>
      <c r="P222" s="18"/>
      <c r="Q222" s="18"/>
      <c r="R222" s="59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3"/>
      <c r="B223" s="6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8"/>
      <c r="P223" s="18"/>
      <c r="Q223" s="18"/>
      <c r="R223" s="59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3"/>
      <c r="B224" s="6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8"/>
      <c r="P224" s="18"/>
      <c r="Q224" s="18"/>
      <c r="R224" s="59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3"/>
      <c r="B225" s="6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8"/>
      <c r="P225" s="18"/>
      <c r="Q225" s="18"/>
      <c r="R225" s="59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3"/>
      <c r="B226" s="6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8"/>
      <c r="P226" s="18"/>
      <c r="Q226" s="18"/>
      <c r="R226" s="59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3"/>
      <c r="B227" s="6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8"/>
      <c r="P227" s="18"/>
      <c r="Q227" s="18"/>
      <c r="R227" s="59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3"/>
      <c r="B228" s="6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8"/>
      <c r="P228" s="18"/>
      <c r="Q228" s="18"/>
      <c r="R228" s="59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3"/>
      <c r="B229" s="6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8"/>
      <c r="P229" s="18"/>
      <c r="Q229" s="18"/>
      <c r="R229" s="59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3"/>
      <c r="B230" s="6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8"/>
      <c r="P230" s="18"/>
      <c r="Q230" s="18"/>
      <c r="R230" s="59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3"/>
      <c r="B231" s="6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8"/>
      <c r="P231" s="18"/>
      <c r="Q231" s="18"/>
      <c r="R231" s="59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3"/>
      <c r="B232" s="6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8"/>
      <c r="P232" s="18"/>
      <c r="Q232" s="18"/>
      <c r="R232" s="59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3"/>
      <c r="B233" s="6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8"/>
      <c r="P233" s="18"/>
      <c r="Q233" s="18"/>
      <c r="R233" s="59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3"/>
      <c r="B234" s="6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8"/>
      <c r="P234" s="18"/>
      <c r="Q234" s="18"/>
      <c r="R234" s="59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3"/>
      <c r="B235" s="6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8"/>
      <c r="P235" s="18"/>
      <c r="Q235" s="18"/>
      <c r="R235" s="59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3"/>
      <c r="B236" s="6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8"/>
      <c r="P236" s="18"/>
      <c r="Q236" s="18"/>
      <c r="R236" s="59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3"/>
      <c r="B237" s="6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8"/>
      <c r="P237" s="18"/>
      <c r="Q237" s="18"/>
      <c r="R237" s="59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3"/>
      <c r="B238" s="6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8"/>
      <c r="P238" s="18"/>
      <c r="Q238" s="18"/>
      <c r="R238" s="59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3"/>
      <c r="B239" s="6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8"/>
      <c r="P239" s="18"/>
      <c r="Q239" s="18"/>
      <c r="R239" s="59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3"/>
      <c r="B240" s="6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8"/>
      <c r="P240" s="18"/>
      <c r="Q240" s="18"/>
      <c r="R240" s="59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3"/>
      <c r="B241" s="6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8"/>
      <c r="P241" s="18"/>
      <c r="Q241" s="18"/>
      <c r="R241" s="59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3"/>
      <c r="B242" s="6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8"/>
      <c r="P242" s="18"/>
      <c r="Q242" s="18"/>
      <c r="R242" s="59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3"/>
      <c r="B243" s="6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8"/>
      <c r="P243" s="18"/>
      <c r="Q243" s="18"/>
      <c r="R243" s="59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3"/>
      <c r="B244" s="6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8"/>
      <c r="P244" s="18"/>
      <c r="Q244" s="18"/>
      <c r="R244" s="59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3"/>
      <c r="B245" s="6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8"/>
      <c r="P245" s="18"/>
      <c r="Q245" s="18"/>
      <c r="R245" s="59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3"/>
      <c r="B246" s="6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8"/>
      <c r="P246" s="18"/>
      <c r="Q246" s="18"/>
      <c r="R246" s="59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3"/>
      <c r="B247" s="6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8"/>
      <c r="P247" s="18"/>
      <c r="Q247" s="18"/>
      <c r="R247" s="59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3"/>
      <c r="B248" s="6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8"/>
      <c r="P248" s="18"/>
      <c r="Q248" s="18"/>
      <c r="R248" s="59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3"/>
      <c r="B249" s="6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8"/>
      <c r="P249" s="18"/>
      <c r="Q249" s="18"/>
      <c r="R249" s="59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3"/>
      <c r="B250" s="6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8"/>
      <c r="P250" s="18"/>
      <c r="Q250" s="18"/>
      <c r="R250" s="59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3"/>
      <c r="B251" s="6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8"/>
      <c r="P251" s="18"/>
      <c r="Q251" s="18"/>
      <c r="R251" s="59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59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59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59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59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59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59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59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59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59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59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59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59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59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59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59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59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59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59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59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59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59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59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59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59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59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59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59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59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59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59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59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59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59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59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59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59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59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59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59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59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59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59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59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59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59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59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59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59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59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59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59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59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59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59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59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59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59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59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59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59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59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59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59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59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59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59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59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59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59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59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59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59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59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59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59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59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59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59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59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59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59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59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59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59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59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59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59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59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59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59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59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59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59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59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59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59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59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59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59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59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59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59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59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59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59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59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59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59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59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59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59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59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59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59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59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59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59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59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59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59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59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59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59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59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59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59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59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59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59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59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59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59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59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59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59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59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59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59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59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59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59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59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59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59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59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59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59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59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59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59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59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59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59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59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59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59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59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59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59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59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59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59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59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59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59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59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59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59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59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59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59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59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59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59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59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59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59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59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59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59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59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59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59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59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59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59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59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59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59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59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59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59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59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59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59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69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69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69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69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69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69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69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69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69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69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69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69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69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69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69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69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69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69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69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69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69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69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69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69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69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69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69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69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69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69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69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69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69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69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69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69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69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69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69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69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69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69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69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69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69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69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69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69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69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69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69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69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69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69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69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69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69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69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69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69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69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69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69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69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69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69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69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69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69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69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69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69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69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69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69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69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69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69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69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69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69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69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69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69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69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69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69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69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69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69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69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69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69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69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69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69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69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69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69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69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69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69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69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69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69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69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69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69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69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69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69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69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69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69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69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69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69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69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69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69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69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69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69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69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69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69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69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69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69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69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69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69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69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69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69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69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69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69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69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69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69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69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69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69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69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69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69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69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69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69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69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69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69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69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69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69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69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69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69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69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69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69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69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69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69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69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69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69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69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69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69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69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69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69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69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69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69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69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69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69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69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69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69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69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69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69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69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69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69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69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69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69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69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69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69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69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69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69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69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69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69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69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69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69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69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69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69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69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69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69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69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69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69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69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69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69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69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69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69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69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69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69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69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69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69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69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69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69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69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69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69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69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69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69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69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69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69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69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69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69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69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69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69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69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69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69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69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69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69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69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69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69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69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69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69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69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69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69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69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69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69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69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69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69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69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69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69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69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69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69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69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69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69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69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69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69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69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69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69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69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69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69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69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69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69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69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69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69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69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69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69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69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69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69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69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69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69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69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69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69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69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69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69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69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69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69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69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69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69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69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69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69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69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69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69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69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69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69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69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69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69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69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69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69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69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69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69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69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69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69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69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69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69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69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69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69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69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69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69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69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69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69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69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69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69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69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69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69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69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69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69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69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69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69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69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69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69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69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69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69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69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69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69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69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69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69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69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69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69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69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69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69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69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69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69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69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69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69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69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69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69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69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69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69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69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69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69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69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69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69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69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69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69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69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69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69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69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69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69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69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69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69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69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69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69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69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69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69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69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69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69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69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69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69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69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69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69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69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69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69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69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69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69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69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69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69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69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69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69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69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69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69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69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69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69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69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69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69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69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69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69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69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69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69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69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69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69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69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69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69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69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69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69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69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69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69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69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69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69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69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69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69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69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69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69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69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69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69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69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69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69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69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69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69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69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69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69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69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69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69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69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69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69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69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69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69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69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69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69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69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69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69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69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69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69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69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69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69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69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69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69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69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69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69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69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69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69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69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69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69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69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69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69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69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69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69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69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69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69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69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69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69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69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69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69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69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69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69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69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69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69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69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69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69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69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69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69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69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69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69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69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69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69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69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69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69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69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69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69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69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69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69"/>
      <c r="S998" s="18"/>
      <c r="T998" s="18"/>
      <c r="U998" s="18"/>
      <c r="V998" s="18"/>
      <c r="W998" s="18"/>
      <c r="X998" s="18"/>
      <c r="Y998" s="18"/>
      <c r="Z998" s="18"/>
    </row>
    <row r="999" ht="12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69"/>
      <c r="S999" s="18"/>
      <c r="T999" s="18"/>
      <c r="U999" s="18"/>
      <c r="V999" s="18"/>
      <c r="W999" s="18"/>
      <c r="X999" s="18"/>
      <c r="Y999" s="18"/>
      <c r="Z999" s="18"/>
    </row>
    <row r="1000" ht="12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69"/>
      <c r="S1000" s="18"/>
      <c r="T1000" s="18"/>
      <c r="U1000" s="18"/>
      <c r="V1000" s="18"/>
      <c r="W1000" s="18"/>
      <c r="X1000" s="18"/>
      <c r="Y1000" s="18"/>
      <c r="Z1000" s="18"/>
    </row>
  </sheetData>
  <dataValidations>
    <dataValidation type="list" allowBlank="1" showErrorMessage="1" sqref="M2:M43">
      <formula1>"Pending,Planned,Analyzed,Coded,Integrated,Tested,Cancelled"</formula1>
    </dataValidation>
    <dataValidation type="list" allowBlank="1" showErrorMessage="1" sqref="N2:N43 Q2:Q43">
      <formula1>"To Do,Doing,Done,Cancelled"</formula1>
    </dataValidation>
    <dataValidation type="custom" allowBlank="1" showDropDown="1" sqref="G2:K43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50.0"/>
    <col customWidth="1" min="3" max="3" width="8.75"/>
    <col customWidth="1" min="4" max="5" width="9.63"/>
    <col customWidth="1" min="6" max="6" width="8.75"/>
    <col customWidth="1" min="7" max="7" width="55.13"/>
    <col customWidth="1" min="8" max="26" width="8.75"/>
  </cols>
  <sheetData>
    <row r="1" ht="12.75" customHeight="1">
      <c r="A1" s="2" t="s">
        <v>0</v>
      </c>
      <c r="B1" s="2" t="s">
        <v>13</v>
      </c>
      <c r="C1" s="2" t="s">
        <v>15</v>
      </c>
      <c r="D1" s="2" t="s">
        <v>4</v>
      </c>
      <c r="E1" s="2" t="s">
        <v>8</v>
      </c>
      <c r="F1" s="2" t="s">
        <v>9</v>
      </c>
      <c r="G1" s="2" t="s">
        <v>17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9">
        <v>45185.0</v>
      </c>
      <c r="B2" s="10"/>
      <c r="C2" s="10" t="s">
        <v>18</v>
      </c>
      <c r="D2" s="10" t="s">
        <v>19</v>
      </c>
      <c r="E2" s="10"/>
      <c r="F2" s="10" t="s">
        <v>21</v>
      </c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2"/>
      <c r="B3" s="10"/>
      <c r="C3" s="10"/>
      <c r="D3" s="10" t="s">
        <v>19</v>
      </c>
      <c r="E3" s="10"/>
      <c r="F3" s="10" t="s">
        <v>21</v>
      </c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2"/>
      <c r="B4" s="10"/>
      <c r="C4" s="10"/>
      <c r="D4" s="10" t="s">
        <v>19</v>
      </c>
      <c r="E4" s="10"/>
      <c r="F4" s="10" t="s">
        <v>21</v>
      </c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2"/>
      <c r="B5" s="10"/>
      <c r="C5" s="10"/>
      <c r="D5" s="10" t="s">
        <v>19</v>
      </c>
      <c r="E5" s="10"/>
      <c r="F5" s="10" t="s">
        <v>21</v>
      </c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2"/>
      <c r="B6" s="10"/>
      <c r="C6" s="10"/>
      <c r="D6" s="10" t="s">
        <v>19</v>
      </c>
      <c r="E6" s="10"/>
      <c r="F6" s="10" t="s">
        <v>21</v>
      </c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2"/>
      <c r="B7" s="10"/>
      <c r="C7" s="10"/>
      <c r="D7" s="10" t="s">
        <v>19</v>
      </c>
      <c r="E7" s="10"/>
      <c r="F7" s="10" t="s">
        <v>21</v>
      </c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2"/>
      <c r="B8" s="10"/>
      <c r="C8" s="10"/>
      <c r="D8" s="10" t="s">
        <v>19</v>
      </c>
      <c r="E8" s="10"/>
      <c r="F8" s="10" t="s">
        <v>21</v>
      </c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2"/>
      <c r="B9" s="10"/>
      <c r="C9" s="10"/>
      <c r="D9" s="10" t="s">
        <v>19</v>
      </c>
      <c r="E9" s="10"/>
      <c r="F9" s="10" t="s">
        <v>21</v>
      </c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2"/>
      <c r="B10" s="10"/>
      <c r="C10" s="10"/>
      <c r="D10" s="10" t="s">
        <v>19</v>
      </c>
      <c r="E10" s="10"/>
      <c r="F10" s="10" t="s">
        <v>21</v>
      </c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2"/>
      <c r="B11" s="10"/>
      <c r="C11" s="10"/>
      <c r="D11" s="10" t="s">
        <v>19</v>
      </c>
      <c r="E11" s="10"/>
      <c r="F11" s="10" t="s">
        <v>21</v>
      </c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2"/>
      <c r="B12" s="10"/>
      <c r="C12" s="10"/>
      <c r="D12" s="10" t="s">
        <v>19</v>
      </c>
      <c r="E12" s="10"/>
      <c r="F12" s="10" t="s">
        <v>21</v>
      </c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2"/>
      <c r="B13" s="10"/>
      <c r="C13" s="10"/>
      <c r="D13" s="10" t="s">
        <v>19</v>
      </c>
      <c r="E13" s="10"/>
      <c r="F13" s="10" t="s">
        <v>21</v>
      </c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"/>
      <c r="B14" s="10"/>
      <c r="C14" s="10"/>
      <c r="D14" s="10" t="s">
        <v>19</v>
      </c>
      <c r="E14" s="10"/>
      <c r="F14" s="10" t="s">
        <v>21</v>
      </c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2:F14">
      <formula1>"Open,Closed,Cancelled"</formula1>
    </dataValidation>
    <dataValidation type="list" allowBlank="1" showErrorMessage="1" sqref="D2:D14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42.63"/>
    <col customWidth="1" min="3" max="4" width="11.0"/>
    <col customWidth="1" min="5" max="5" width="10.63"/>
    <col customWidth="1" min="6" max="6" width="12.5"/>
    <col customWidth="1" min="7" max="7" width="8.75"/>
    <col customWidth="1" min="8" max="8" width="48.88"/>
    <col customWidth="1" min="9" max="26" width="14.5"/>
  </cols>
  <sheetData>
    <row r="1" ht="15.7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>
        <v>45578.0</v>
      </c>
      <c r="B2" s="8"/>
      <c r="C2" s="11" t="s">
        <v>19</v>
      </c>
      <c r="D2" s="11" t="s">
        <v>18</v>
      </c>
      <c r="E2" s="11" t="s">
        <v>24</v>
      </c>
      <c r="F2" s="11"/>
      <c r="G2" s="11" t="s">
        <v>21</v>
      </c>
      <c r="H2" s="11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1"/>
      <c r="B3" s="8"/>
      <c r="C3" s="11" t="s">
        <v>19</v>
      </c>
      <c r="D3" s="11"/>
      <c r="E3" s="11" t="s">
        <v>24</v>
      </c>
      <c r="F3" s="11"/>
      <c r="G3" s="11" t="s">
        <v>21</v>
      </c>
      <c r="H3" s="11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1"/>
      <c r="B4" s="8"/>
      <c r="C4" s="11" t="s">
        <v>19</v>
      </c>
      <c r="D4" s="11"/>
      <c r="E4" s="11" t="s">
        <v>27</v>
      </c>
      <c r="F4" s="11"/>
      <c r="G4" s="11" t="s">
        <v>21</v>
      </c>
      <c r="H4" s="11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1"/>
      <c r="B5" s="8"/>
      <c r="C5" s="11" t="s">
        <v>19</v>
      </c>
      <c r="D5" s="11"/>
      <c r="E5" s="11" t="s">
        <v>27</v>
      </c>
      <c r="F5" s="11"/>
      <c r="G5" s="11" t="s">
        <v>21</v>
      </c>
      <c r="H5" s="11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1"/>
      <c r="B6" s="8"/>
      <c r="C6" s="11" t="s">
        <v>19</v>
      </c>
      <c r="D6" s="11"/>
      <c r="E6" s="11" t="s">
        <v>27</v>
      </c>
      <c r="F6" s="11"/>
      <c r="G6" s="11" t="s">
        <v>21</v>
      </c>
      <c r="H6" s="11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1"/>
      <c r="B7" s="8"/>
      <c r="C7" s="11" t="s">
        <v>19</v>
      </c>
      <c r="D7" s="11"/>
      <c r="E7" s="11" t="s">
        <v>30</v>
      </c>
      <c r="F7" s="11"/>
      <c r="G7" s="11" t="s">
        <v>21</v>
      </c>
      <c r="H7" s="11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1"/>
      <c r="B8" s="8"/>
      <c r="C8" s="11" t="s">
        <v>19</v>
      </c>
      <c r="D8" s="11"/>
      <c r="E8" s="11" t="s">
        <v>31</v>
      </c>
      <c r="F8" s="11"/>
      <c r="G8" s="11" t="s">
        <v>21</v>
      </c>
      <c r="H8" s="11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G2:G8">
      <formula1>"Open,Closed,Cancelled"</formula1>
    </dataValidation>
    <dataValidation type="list" allowBlank="1" showErrorMessage="1" sqref="C2:C8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52.5"/>
    <col customWidth="1" min="3" max="3" width="10.5"/>
    <col customWidth="1" min="4" max="4" width="15.63"/>
    <col customWidth="1" min="5" max="5" width="20.5"/>
    <col customWidth="1" min="6" max="6" width="10.13"/>
    <col customWidth="1" min="7" max="7" width="10.25"/>
    <col customWidth="1" min="8" max="9" width="9.38"/>
    <col customWidth="1" min="10" max="10" width="46.38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10</v>
      </c>
      <c r="F1" s="1" t="s">
        <v>12</v>
      </c>
      <c r="G1" s="1" t="s">
        <v>14</v>
      </c>
      <c r="H1" s="1" t="s">
        <v>9</v>
      </c>
      <c r="I1" s="1" t="s">
        <v>16</v>
      </c>
      <c r="J1" s="1" t="s">
        <v>11</v>
      </c>
    </row>
    <row r="2" ht="15.75" customHeight="1">
      <c r="A2" s="5">
        <v>45578.0</v>
      </c>
      <c r="B2" s="7"/>
      <c r="C2" s="7" t="s">
        <v>20</v>
      </c>
      <c r="D2" s="7" t="s">
        <v>22</v>
      </c>
      <c r="E2" s="7"/>
      <c r="F2" s="7"/>
      <c r="G2" s="7"/>
      <c r="H2" s="7" t="s">
        <v>23</v>
      </c>
      <c r="I2" s="5">
        <v>45591.0</v>
      </c>
      <c r="J2" s="7"/>
    </row>
    <row r="3" ht="15.75" customHeight="1">
      <c r="A3" s="7"/>
      <c r="B3" s="7"/>
      <c r="C3" s="7" t="s">
        <v>20</v>
      </c>
      <c r="D3" s="7" t="s">
        <v>25</v>
      </c>
      <c r="E3" s="7"/>
      <c r="F3" s="7"/>
      <c r="G3" s="7"/>
      <c r="H3" s="7" t="s">
        <v>23</v>
      </c>
      <c r="I3" s="7"/>
      <c r="J3" s="7"/>
    </row>
    <row r="4" ht="15.75" customHeight="1">
      <c r="A4" s="7"/>
      <c r="B4" s="7"/>
      <c r="C4" s="7" t="s">
        <v>20</v>
      </c>
      <c r="D4" s="7" t="s">
        <v>26</v>
      </c>
      <c r="E4" s="7"/>
      <c r="F4" s="7"/>
      <c r="G4" s="7"/>
      <c r="H4" s="7" t="s">
        <v>23</v>
      </c>
      <c r="I4" s="7"/>
      <c r="J4" s="7"/>
    </row>
    <row r="5" ht="15.75" customHeight="1">
      <c r="A5" s="7"/>
      <c r="B5" s="7"/>
      <c r="C5" s="7" t="s">
        <v>20</v>
      </c>
      <c r="D5" s="7" t="s">
        <v>26</v>
      </c>
      <c r="E5" s="7"/>
      <c r="F5" s="7"/>
      <c r="G5" s="7"/>
      <c r="H5" s="7" t="s">
        <v>23</v>
      </c>
      <c r="I5" s="7"/>
      <c r="J5" s="7"/>
    </row>
    <row r="6" ht="15.75" customHeight="1">
      <c r="A6" s="7"/>
      <c r="B6" s="7"/>
      <c r="C6" s="7" t="s">
        <v>20</v>
      </c>
      <c r="D6" s="7" t="s">
        <v>28</v>
      </c>
      <c r="E6" s="7"/>
      <c r="F6" s="7"/>
      <c r="G6" s="7"/>
      <c r="H6" s="7" t="s">
        <v>23</v>
      </c>
      <c r="I6" s="7"/>
      <c r="J6" s="7"/>
    </row>
    <row r="7" ht="15.75" customHeight="1">
      <c r="A7" s="7"/>
      <c r="B7" s="7"/>
      <c r="C7" s="7" t="s">
        <v>20</v>
      </c>
      <c r="D7" s="7" t="s">
        <v>29</v>
      </c>
      <c r="E7" s="7"/>
      <c r="F7" s="7"/>
      <c r="G7" s="7"/>
      <c r="H7" s="7" t="s">
        <v>23</v>
      </c>
      <c r="I7" s="7"/>
      <c r="J7" s="7"/>
    </row>
    <row r="8" ht="15.75" customHeight="1">
      <c r="A8" s="7"/>
      <c r="B8" s="7"/>
      <c r="C8" s="7" t="s">
        <v>20</v>
      </c>
      <c r="D8" s="7" t="s">
        <v>26</v>
      </c>
      <c r="E8" s="7"/>
      <c r="F8" s="7"/>
      <c r="G8" s="7"/>
      <c r="H8" s="7" t="s">
        <v>23</v>
      </c>
      <c r="I8" s="7"/>
      <c r="J8" s="7"/>
    </row>
    <row r="9" ht="15.75" customHeight="1">
      <c r="A9" s="7"/>
      <c r="B9" s="7"/>
      <c r="C9" s="7" t="s">
        <v>20</v>
      </c>
      <c r="D9" s="7" t="s">
        <v>26</v>
      </c>
      <c r="E9" s="7"/>
      <c r="F9" s="7"/>
      <c r="G9" s="7"/>
      <c r="H9" s="7" t="s">
        <v>23</v>
      </c>
      <c r="I9" s="7"/>
      <c r="J9" s="7"/>
    </row>
    <row r="10" ht="15.75" customHeight="1">
      <c r="A10" s="7"/>
      <c r="B10" s="7"/>
      <c r="C10" s="7" t="s">
        <v>20</v>
      </c>
      <c r="D10" s="7" t="s">
        <v>28</v>
      </c>
      <c r="E10" s="7"/>
      <c r="F10" s="7"/>
      <c r="G10" s="7"/>
      <c r="H10" s="7" t="s">
        <v>23</v>
      </c>
      <c r="I10" s="7"/>
      <c r="J10" s="7"/>
    </row>
    <row r="11" ht="15.75" customHeight="1">
      <c r="A11" s="7"/>
      <c r="B11" s="7"/>
      <c r="C11" s="7" t="s">
        <v>20</v>
      </c>
      <c r="D11" s="7" t="s">
        <v>29</v>
      </c>
      <c r="E11" s="7"/>
      <c r="F11" s="7"/>
      <c r="G11" s="7"/>
      <c r="H11" s="7" t="s">
        <v>23</v>
      </c>
      <c r="I11" s="7"/>
      <c r="J11" s="7"/>
    </row>
    <row r="12" ht="15.75" customHeight="1">
      <c r="A12" s="7"/>
      <c r="B12" s="7"/>
      <c r="C12" s="7" t="s">
        <v>20</v>
      </c>
      <c r="D12" s="7" t="s">
        <v>32</v>
      </c>
      <c r="E12" s="7"/>
      <c r="F12" s="7"/>
      <c r="G12" s="7"/>
      <c r="H12" s="7" t="s">
        <v>23</v>
      </c>
      <c r="I12" s="7"/>
      <c r="J12" s="7"/>
    </row>
    <row r="13" ht="15.75" customHeight="1">
      <c r="A13" s="7"/>
      <c r="B13" s="7"/>
      <c r="C13" s="7" t="s">
        <v>20</v>
      </c>
      <c r="D13" s="7" t="s">
        <v>32</v>
      </c>
      <c r="E13" s="7"/>
      <c r="F13" s="7"/>
      <c r="G13" s="7"/>
      <c r="H13" s="7" t="s">
        <v>23</v>
      </c>
      <c r="I13" s="7"/>
      <c r="J13" s="7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C2:C13">
      <formula1>"Review,UT,IT,ST,AT"</formula1>
    </dataValidation>
    <dataValidation type="list" allowBlank="1" showErrorMessage="1" sqref="D2:D13">
      <formula1>"Software Package,Report1 (Intro),Report2 (Plan),Report3 (SRS),Report4 (SDS),Report5 (Test),Report6 (Guides),Report7 (Final)"</formula1>
    </dataValidation>
    <dataValidation type="list" allowBlank="1" showErrorMessage="1" sqref="H2:H13">
      <formula1>"Pending,Assigned,Fixing,Fixed,Closed,Cancelled"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0"/>
  </cols>
  <sheetData>
    <row r="1">
      <c r="A1" s="28" t="s">
        <v>49</v>
      </c>
      <c r="B1" s="28" t="s">
        <v>74</v>
      </c>
    </row>
    <row r="2">
      <c r="A2" s="29" t="s">
        <v>75</v>
      </c>
      <c r="B2" s="30" t="s">
        <v>76</v>
      </c>
    </row>
    <row r="3">
      <c r="A3" s="29" t="s">
        <v>59</v>
      </c>
      <c r="B3" s="31" t="s">
        <v>78</v>
      </c>
    </row>
    <row r="4">
      <c r="A4" s="29" t="s">
        <v>77</v>
      </c>
      <c r="B4" s="30" t="s">
        <v>82</v>
      </c>
    </row>
    <row r="5">
      <c r="A5" s="29" t="s">
        <v>84</v>
      </c>
      <c r="B5" s="30" t="s">
        <v>85</v>
      </c>
    </row>
    <row r="6">
      <c r="A6" s="32"/>
      <c r="B6" s="32"/>
    </row>
    <row r="7">
      <c r="A7" s="32"/>
      <c r="B7" s="32"/>
    </row>
    <row r="8">
      <c r="A8" s="32"/>
      <c r="B8" s="32"/>
    </row>
    <row r="9">
      <c r="A9" s="32"/>
      <c r="B9" s="32"/>
    </row>
    <row r="10">
      <c r="A10" s="32"/>
      <c r="B10" s="32"/>
    </row>
  </sheetData>
  <hyperlinks>
    <hyperlink r:id="rId1" ref="B2"/>
    <hyperlink r:id="rId2" ref="B3"/>
    <hyperlink r:id="rId3" ref="B4"/>
    <hyperlink r:id="rId4" ref="B5"/>
  </hyperlinks>
  <drawing r:id="rId5"/>
</worksheet>
</file>