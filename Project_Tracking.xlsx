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BS" sheetId="1" r:id="rId5"/>
    <sheet state="visible" name="Q&amp;A" sheetId="2" r:id="rId6"/>
    <sheet state="visible" name="Issues" sheetId="3" r:id="rId7"/>
    <sheet state="visible" name="Defects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">
      <text>
        <t xml:space="preserve">======
ID#AAACHpETzrc
kiennt    (2026-09-27 07:51:11)
Estimated for Coding &amp; Unit-Testing Effort, in man-days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======
ID#AAACHpETzrY
None    (2026-09-27 07:51:11)
Name of screen, function or the document section</t>
      </text>
    </comment>
  </commentList>
</comments>
</file>

<file path=xl/sharedStrings.xml><?xml version="1.0" encoding="utf-8"?>
<sst xmlns="http://schemas.openxmlformats.org/spreadsheetml/2006/main" count="589" uniqueCount="219">
  <si>
    <t>Date</t>
  </si>
  <si>
    <t>Function/Screen</t>
  </si>
  <si>
    <t>Defect Description</t>
  </si>
  <si>
    <t>Activity</t>
  </si>
  <si>
    <t>Product</t>
  </si>
  <si>
    <t>Product Details</t>
  </si>
  <si>
    <t>Assigner</t>
  </si>
  <si>
    <t>Assignee</t>
  </si>
  <si>
    <t>Question</t>
  </si>
  <si>
    <t>Status</t>
  </si>
  <si>
    <t>Updated</t>
  </si>
  <si>
    <t>By</t>
  </si>
  <si>
    <t>Notes</t>
  </si>
  <si>
    <t>Priority</t>
  </si>
  <si>
    <t>Due Date</t>
  </si>
  <si>
    <t>Note (answer, other notes)</t>
  </si>
  <si>
    <t>Issue</t>
  </si>
  <si>
    <t>Created</t>
  </si>
  <si>
    <t>Owner</t>
  </si>
  <si>
    <t>Feature</t>
  </si>
  <si>
    <t>Sub Feature</t>
  </si>
  <si>
    <t>Type</t>
  </si>
  <si>
    <t>Function/Screen Description</t>
  </si>
  <si>
    <t>Level*</t>
  </si>
  <si>
    <t>Review</t>
  </si>
  <si>
    <t>Requirement</t>
  </si>
  <si>
    <t>KienNT</t>
  </si>
  <si>
    <t>Design</t>
  </si>
  <si>
    <t>Software Package</t>
  </si>
  <si>
    <t>Coding</t>
  </si>
  <si>
    <t>Test</t>
  </si>
  <si>
    <t>Deploy</t>
  </si>
  <si>
    <t>Medium</t>
  </si>
  <si>
    <t>Pending</t>
  </si>
  <si>
    <t>Planned</t>
  </si>
  <si>
    <t>Report1 (Intro)</t>
  </si>
  <si>
    <t>Open</t>
  </si>
  <si>
    <t>SRS</t>
  </si>
  <si>
    <t>Report4 (SDS)</t>
  </si>
  <si>
    <t>In-Charge</t>
  </si>
  <si>
    <t>Deadline</t>
  </si>
  <si>
    <t>Report5 (Test)</t>
  </si>
  <si>
    <t>IT Case</t>
  </si>
  <si>
    <t>Author</t>
  </si>
  <si>
    <t>Report6 (Guides)</t>
  </si>
  <si>
    <t>HuyNMG</t>
  </si>
  <si>
    <t>User Registration Screen</t>
  </si>
  <si>
    <t>Authentication</t>
  </si>
  <si>
    <t>UC-AUTH-01</t>
  </si>
  <si>
    <t>Screen</t>
  </si>
  <si>
    <t>Register Consumer or Farmer Account</t>
  </si>
  <si>
    <t>HuyNG</t>
  </si>
  <si>
    <t>Simple</t>
  </si>
  <si>
    <t>Software/System</t>
  </si>
  <si>
    <t>DucBH</t>
  </si>
  <si>
    <t>HuyLQ</t>
  </si>
  <si>
    <t>Iteration 1</t>
  </si>
  <si>
    <t>To Do</t>
  </si>
  <si>
    <t>Done</t>
  </si>
  <si>
    <t>Dự</t>
  </si>
  <si>
    <t>Profile &amp; Farm Management Screen</t>
  </si>
  <si>
    <t>UC-AUTH-03</t>
  </si>
  <si>
    <t>Complete and Manage Profile</t>
  </si>
  <si>
    <t>Sign In Screen</t>
  </si>
  <si>
    <t>UC-AUTH-04</t>
  </si>
  <si>
    <t>Log In</t>
  </si>
  <si>
    <t>Tú</t>
  </si>
  <si>
    <t>Logout Handler</t>
  </si>
  <si>
    <t>UC-AUTH-05</t>
  </si>
  <si>
    <t>Function</t>
  </si>
  <si>
    <t>Log Out</t>
  </si>
  <si>
    <t>Change Password Screen</t>
  </si>
  <si>
    <t>UC-AUTH-06</t>
  </si>
  <si>
    <t>Change Password</t>
  </si>
  <si>
    <t>Thương</t>
  </si>
  <si>
    <t>Agricultural Marketplace Screen</t>
  </si>
  <si>
    <t>Marketplace</t>
  </si>
  <si>
    <t>UC-MKT-01</t>
  </si>
  <si>
    <t>Browse and Search Marketplace</t>
  </si>
  <si>
    <t>Product Detail &amp; Batches Screen</t>
  </si>
  <si>
    <t>UC-MKT-02</t>
  </si>
  <si>
    <t>View Product Detail</t>
  </si>
  <si>
    <t>Farmer Product Management Screen</t>
  </si>
  <si>
    <t>Product Management</t>
  </si>
  <si>
    <t>UC-FAR-03</t>
  </si>
  <si>
    <t>Manage Product Listing</t>
  </si>
  <si>
    <t>Lò Mạnh Xum</t>
  </si>
  <si>
    <t>User Management Screen</t>
  </si>
  <si>
    <t>Administration</t>
  </si>
  <si>
    <t>UC-ADM-03</t>
  </si>
  <si>
    <t>Manage User Account Status</t>
  </si>
  <si>
    <t>Huy</t>
  </si>
  <si>
    <t>Product Categories Management Screen</t>
  </si>
  <si>
    <t>UC-ADM-05</t>
  </si>
  <si>
    <t>Manage Product Categories</t>
  </si>
  <si>
    <t>Shopping Cart Screen</t>
  </si>
  <si>
    <t>Consumer Ordering</t>
  </si>
  <si>
    <t>UC-CON-01</t>
  </si>
  <si>
    <t>Manage Shopping Cart</t>
  </si>
  <si>
    <t>Retail Checkout Screen</t>
  </si>
  <si>
    <t>UC-CON-02</t>
  </si>
  <si>
    <t>Checkout and Place Retail Order</t>
  </si>
  <si>
    <t>Complex</t>
  </si>
  <si>
    <t>Order Tracking &amp; History Screen</t>
  </si>
  <si>
    <t>UC-CON-04</t>
  </si>
  <si>
    <t>Track Retail Order</t>
  </si>
  <si>
    <t>Farmer Order Fulfillment Screen</t>
  </si>
  <si>
    <t>Farmer Sales</t>
  </si>
  <si>
    <t>UC-FAR-06</t>
  </si>
  <si>
    <t>Process Order</t>
  </si>
  <si>
    <t>Product Listing Moderation Screen</t>
  </si>
  <si>
    <t>UC-ADM-04</t>
  </si>
  <si>
    <t>Moderate Product Listing</t>
  </si>
  <si>
    <t>Forgot &amp; Reset Password Screen</t>
  </si>
  <si>
    <t>UC-AUTH-07</t>
  </si>
  <si>
    <t>Reset Password</t>
  </si>
  <si>
    <t>Iteration 2</t>
  </si>
  <si>
    <t>Product Origin &amp; Farming Log Screen</t>
  </si>
  <si>
    <t>Traceability</t>
  </si>
  <si>
    <t>UC-TRC-01</t>
  </si>
  <si>
    <t>View Product Traceability</t>
  </si>
  <si>
    <t>Crop Season Management Screen</t>
  </si>
  <si>
    <t>Farm Management</t>
  </si>
  <si>
    <t>UC-FAR-01</t>
  </si>
  <si>
    <t>Manage Farm and Crop Seasons</t>
  </si>
  <si>
    <t>Digital Field Log Screen</t>
  </si>
  <si>
    <t>UC-FAR-02</t>
  </si>
  <si>
    <t>Record E-Farming Logs</t>
  </si>
  <si>
    <t>Batch &amp; Traceability QR Generator Screen</t>
  </si>
  <si>
    <t>Product Traceability</t>
  </si>
  <si>
    <t>UC-FAR-04</t>
  </si>
  <si>
    <t>Manage Product Batch and Traceability</t>
  </si>
  <si>
    <t>Seller &amp; Buyer KYC Review Screen</t>
  </si>
  <si>
    <t>UC-ADM-02</t>
  </si>
  <si>
    <t>Approve or Reject KYC Account</t>
  </si>
  <si>
    <t>QR Payment &amp; Transfer Screen</t>
  </si>
  <si>
    <t>Consumer Payment</t>
  </si>
  <si>
    <t>UC-CON-03</t>
  </si>
  <si>
    <t>Pay Retail Order by VietQR or PayOS</t>
  </si>
  <si>
    <t>Product Review Modal</t>
  </si>
  <si>
    <t>Consumer Engagement</t>
  </si>
  <si>
    <t>UC-CON-05</t>
  </si>
  <si>
    <t>Submit Product Review</t>
  </si>
  <si>
    <t>Order Dispute &amp; Complaint Screen</t>
  </si>
  <si>
    <t>UC-CON-06</t>
  </si>
  <si>
    <t>Submit Order Complaint</t>
  </si>
  <si>
    <t>Complaint Arbitration &amp; Refund Screen</t>
  </si>
  <si>
    <t>UC-ADM-06</t>
  </si>
  <si>
    <t>Resolve Complaint</t>
  </si>
  <si>
    <t>Review Moderation Screen</t>
  </si>
  <si>
    <t>UC-ADM-08</t>
  </si>
  <si>
    <t>Moderate Product Review</t>
  </si>
  <si>
    <t>Certification Verification Dossier Screen</t>
  </si>
  <si>
    <t>Certification</t>
  </si>
  <si>
    <t>UC-FAR-07</t>
  </si>
  <si>
    <t>Submit Certificate Dossier</t>
  </si>
  <si>
    <t>Platform Promotion &amp; Voucher Screen</t>
  </si>
  <si>
    <t>UC-ADM-07</t>
  </si>
  <si>
    <t>Manage Promotions and Vouchers</t>
  </si>
  <si>
    <t>B2B Registration Screen</t>
  </si>
  <si>
    <t>UC-AUTH-02</t>
  </si>
  <si>
    <t>Register Buyer B2B Account</t>
  </si>
  <si>
    <t>Iteration 3</t>
  </si>
  <si>
    <t>Admin Master Dashboard Screen</t>
  </si>
  <si>
    <t>UC-ADM-01</t>
  </si>
  <si>
    <t>View Platform Dashboard and Pending Work</t>
  </si>
  <si>
    <t>B2B Supplier Directory Screen</t>
  </si>
  <si>
    <t>B2B Procurement</t>
  </si>
  <si>
    <t>UC-B2B-01</t>
  </si>
  <si>
    <t>Search Suppliers and Production Regions</t>
  </si>
  <si>
    <t>Farm Capacity &amp; Credibility Screen</t>
  </si>
  <si>
    <t>UC-B2B-02</t>
  </si>
  <si>
    <t>View Supplier Capacity Profile</t>
  </si>
  <si>
    <t>Wholesale Order Creation Screen</t>
  </si>
  <si>
    <t>UC-B2B-03</t>
  </si>
  <si>
    <t>Create Wholesale Order</t>
  </si>
  <si>
    <t>Seasonal Pre-Order Setup Screen</t>
  </si>
  <si>
    <t>UC-B2B-04</t>
  </si>
  <si>
    <t>Create Pre-Order Commitment</t>
  </si>
  <si>
    <t>Pre-Order Campaign Management Screen</t>
  </si>
  <si>
    <t>UC-FAR-05</t>
  </si>
  <si>
    <t>Manage Pre-Order Campaign</t>
  </si>
  <si>
    <t>Offtake Contract Drafting Screen</t>
  </si>
  <si>
    <t>B2B Contract Management</t>
  </si>
  <si>
    <t>UC-B2B-05</t>
  </si>
  <si>
    <t>Create Offtake Contract Proposal</t>
  </si>
  <si>
    <t>Digital Contract Signing Screen</t>
  </si>
  <si>
    <t>UC-B2B-06</t>
  </si>
  <si>
    <t>Sign Offtake Contract</t>
  </si>
  <si>
    <t>B2B Contract Milestone Tracking Screen</t>
  </si>
  <si>
    <t>UC-B2B-07</t>
  </si>
  <si>
    <t>Track B2B Order and Contract Progress</t>
  </si>
  <si>
    <t>B2B Membership Plans Screen</t>
  </si>
  <si>
    <t>B2B Membership</t>
  </si>
  <si>
    <t>UC-B2B-08</t>
  </si>
  <si>
    <t>Manage Buyer Subscription</t>
  </si>
  <si>
    <t>Farmer Offtake Contracts Screen</t>
  </si>
  <si>
    <t>UC-FAR-08</t>
  </si>
  <si>
    <t>Manage Offtake Contract</t>
  </si>
  <si>
    <t>Farmer Revenue &amp; Analytics Screen</t>
  </si>
  <si>
    <t>Farmer Analytics</t>
  </si>
  <si>
    <t>UC-FAR-09</t>
  </si>
  <si>
    <t>View Revenue and Cash-Flow Dashboard</t>
  </si>
  <si>
    <t>B2B Subscription Tiers Screen</t>
  </si>
  <si>
    <t>UC-ADM-09</t>
  </si>
  <si>
    <t>Manage Subscription Tiers</t>
  </si>
  <si>
    <t>(*) You can rate the functions' complexity level based on the number of fields on the screens or the number of transactions in the function, with the details as below</t>
  </si>
  <si>
    <t>&lt;=7 fields</t>
  </si>
  <si>
    <t>&lt;=3 transactions</t>
  </si>
  <si>
    <t>&lt;=15 fields</t>
  </si>
  <si>
    <t>&lt;= 7 transactions</t>
  </si>
  <si>
    <t>Functions</t>
  </si>
  <si>
    <t>Total PDS</t>
  </si>
  <si>
    <t>&gt;15 fields</t>
  </si>
  <si>
    <t>&gt; 7 transactions</t>
  </si>
  <si>
    <t>In which:</t>
  </si>
  <si>
    <t>fields: screen components or database table fields</t>
  </si>
  <si>
    <t>transactions can be counted actioning UI components, user or database access transactions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</si>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</sst>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2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0.0"/>
      <color rgb="FF000000"/>
      <name val="Arial"/>
    </font>
    <font>
      <sz val="11.0"/>
      <color rgb="FF000000"/>
      <name val="Calibri"/>
    </font>
    <font>
      <sz val="10.0"/>
      <color theme="1"/>
      <name val="Arial"/>
    </font>
    <font>
      <color theme="1"/>
      <name val="Arial"/>
      <scheme val="minor"/>
    </font>
    <font>
      <sz val="11.0"/>
      <color theme="1"/>
      <name val="Arial"/>
    </font>
    <font>
      <sz val="10.0"/>
      <color rgb="FF000000"/>
      <name val="Calibri"/>
    </font>
    <font>
      <b/>
      <sz val="10.0"/>
      <color rgb="FF1F1F1F"/>
      <name val="Arial"/>
    </font>
    <font>
      <b/>
      <sz val="10.0"/>
      <color rgb="FF000000"/>
      <name val="Arial"/>
    </font>
    <font>
      <i/>
      <sz val="11.0"/>
      <color rgb="FF595959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EE1CC"/>
        <bgColor rgb="FFFEE1CC"/>
      </patternFill>
    </fill>
    <fill>
      <patternFill patternType="solid">
        <fgColor rgb="FFD8D8D8"/>
        <bgColor rgb="FFD8D8D8"/>
      </patternFill>
    </fill>
    <fill>
      <patternFill patternType="solid">
        <fgColor rgb="FFD2F1DA"/>
        <bgColor rgb="FFD2F1DA"/>
      </patternFill>
    </fill>
    <fill>
      <patternFill patternType="solid">
        <fgColor rgb="FFFEF1CC"/>
        <bgColor rgb="FFFEF1CC"/>
      </patternFill>
    </fill>
    <fill>
      <patternFill patternType="solid">
        <fgColor rgb="FFFFFFFF"/>
        <bgColor rgb="FFFFFFFF"/>
      </patternFill>
    </fill>
    <fill>
      <patternFill patternType="solid">
        <fgColor rgb="FFD9E8FF"/>
        <bgColor rgb="FFD9E8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5F5F5F"/>
      </left>
      <right style="thin">
        <color rgb="FF5F5F5F"/>
      </right>
      <top style="thin">
        <color rgb="FF5F5F5F"/>
      </top>
      <bottom style="thin">
        <color rgb="FF5F5F5F"/>
      </bottom>
    </border>
    <border>
      <left style="thin">
        <color rgb="FF5F5F5F"/>
      </left>
      <top style="thin">
        <color rgb="FF5F5F5F"/>
      </top>
      <bottom style="thin">
        <color rgb="FF5F5F5F"/>
      </bottom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2" fontId="1" numFmtId="0" xfId="0" applyAlignment="1" applyBorder="1" applyFill="1" applyFont="1">
      <alignment horizontal="left" vertical="top"/>
    </xf>
    <xf borderId="1" fillId="0" fontId="2" numFmtId="16" xfId="0" applyBorder="1" applyFont="1" applyNumberFormat="1"/>
    <xf borderId="0" fillId="0" fontId="3" numFmtId="0" xfId="0" applyAlignment="1" applyFont="1">
      <alignment horizontal="left" vertical="top"/>
    </xf>
    <xf borderId="1" fillId="0" fontId="2" numFmtId="0" xfId="0" applyBorder="1" applyFont="1"/>
    <xf borderId="1" fillId="2" fontId="1" numFmtId="0" xfId="0" applyAlignment="1" applyBorder="1" applyFill="1" applyFont="1">
      <alignment horizontal="left" shrinkToFit="0" vertical="top" wrapText="1"/>
    </xf>
    <xf borderId="0" fillId="0" fontId="3" numFmtId="0" xfId="0" applyAlignment="1" applyFont="1">
      <alignment horizontal="left"/>
    </xf>
    <xf borderId="1" fillId="0" fontId="4" numFmtId="16" xfId="0" applyAlignment="1" applyBorder="1" applyFont="1" applyNumberFormat="1">
      <alignment horizontal="left" vertical="top"/>
    </xf>
    <xf borderId="1" fillId="2" fontId="1" numFmtId="0" xfId="0" applyAlignment="1" applyBorder="1" applyFill="1" applyFont="1">
      <alignment horizontal="left" shrinkToFit="0" vertical="center" wrapText="1"/>
    </xf>
    <xf borderId="1" fillId="0" fontId="4" numFmtId="0" xfId="0" applyAlignment="1" applyBorder="1" applyFont="1">
      <alignment horizontal="left" shrinkToFit="0" vertical="top" wrapText="1"/>
    </xf>
    <xf borderId="1" fillId="0" fontId="4" numFmtId="16" xfId="0" applyAlignment="1" applyBorder="1" applyFont="1" applyNumberFormat="1">
      <alignment horizontal="left" shrinkToFit="0" wrapText="1"/>
    </xf>
    <xf borderId="2" fillId="2" fontId="5" numFmtId="0" xfId="0" applyAlignment="1" applyBorder="1" applyFill="1" applyFont="1">
      <alignment horizontal="left"/>
    </xf>
    <xf borderId="1" fillId="0" fontId="2" numFmtId="0" xfId="0" applyAlignment="1" applyBorder="1" applyFont="1">
      <alignment horizontal="left" shrinkToFit="0" vertical="top" wrapText="1"/>
    </xf>
    <xf borderId="0" fillId="0" fontId="5" numFmtId="0" xfId="0" applyAlignment="1" applyFont="1">
      <alignment horizontal="left"/>
    </xf>
    <xf borderId="1" fillId="0" fontId="4" numFmtId="0" xfId="0" applyAlignment="1" applyBorder="1" applyFont="1">
      <alignment horizontal="left" vertical="top"/>
    </xf>
    <xf borderId="0" fillId="0" fontId="6" numFmtId="0" xfId="0" applyAlignment="1" applyFont="1">
      <alignment horizontal="left"/>
    </xf>
    <xf borderId="1" fillId="0" fontId="4" numFmtId="0" xfId="0" applyAlignment="1" applyBorder="1" applyFont="1">
      <alignment horizontal="left" shrinkToFit="0" wrapText="1"/>
    </xf>
    <xf borderId="3" fillId="3" fontId="2" numFmtId="0" xfId="0" applyAlignment="1" applyBorder="1" applyFill="1" applyFont="1">
      <alignment horizontal="left" shrinkToFit="0" wrapText="1"/>
    </xf>
    <xf borderId="0" fillId="0" fontId="3" numFmtId="0" xfId="0" applyFont="1"/>
    <xf borderId="3" fillId="3" fontId="2" numFmtId="164" xfId="0" applyAlignment="1" applyBorder="1" applyFill="1" applyFont="1" applyNumberFormat="1">
      <alignment horizontal="left" shrinkToFit="0" vertical="center" wrapText="1"/>
    </xf>
    <xf borderId="1" fillId="3" fontId="2" numFmtId="164" xfId="0" applyAlignment="1" applyBorder="1" applyFill="1" applyFont="1" applyNumberFormat="1">
      <alignment horizontal="left" vertical="center"/>
    </xf>
    <xf borderId="1" fillId="3" fontId="5" numFmtId="0" xfId="0" applyAlignment="1" applyBorder="1" applyFill="1" applyFont="1">
      <alignment horizontal="left" vertical="top"/>
    </xf>
    <xf borderId="1" fillId="3" fontId="2" numFmtId="0" xfId="0" applyAlignment="1" applyBorder="1" applyFill="1" applyFont="1">
      <alignment horizontal="left" readingOrder="0" shrinkToFit="0" vertical="top" wrapText="1"/>
    </xf>
    <xf borderId="1" fillId="3" fontId="5" numFmtId="0" xfId="0" applyAlignment="1" applyBorder="1" applyFill="1" applyFont="1">
      <alignment horizontal="left"/>
    </xf>
    <xf borderId="1" fillId="0" fontId="6" numFmtId="0" xfId="0" applyAlignment="1" applyBorder="1" applyFont="1">
      <alignment horizontal="left"/>
    </xf>
    <xf borderId="1" fillId="3" fontId="2" numFmtId="0" xfId="0" applyAlignment="1" applyBorder="1" applyFill="1" applyFont="1">
      <alignment horizontal="left"/>
    </xf>
    <xf borderId="1" fillId="3" fontId="5" numFmtId="164" xfId="0" applyAlignment="1" applyBorder="1" applyFill="1" applyFont="1" applyNumberFormat="1">
      <alignment horizontal="left" vertical="center"/>
    </xf>
    <xf borderId="4" fillId="3" fontId="2" numFmtId="164" xfId="0" applyAlignment="1" applyBorder="1" applyFill="1" applyFont="1" applyNumberFormat="1">
      <alignment horizontal="left" shrinkToFit="0" vertical="center" wrapText="1"/>
    </xf>
    <xf borderId="3" fillId="4" fontId="2" numFmtId="0" xfId="0" applyAlignment="1" applyBorder="1" applyFill="1" applyFont="1">
      <alignment horizontal="left" shrinkToFit="0" wrapText="1"/>
    </xf>
    <xf borderId="3" fillId="4" fontId="2" numFmtId="164" xfId="0" applyAlignment="1" applyBorder="1" applyFill="1" applyFont="1" applyNumberFormat="1">
      <alignment horizontal="left" shrinkToFit="0" vertical="center" wrapText="1"/>
    </xf>
    <xf borderId="4" fillId="4" fontId="2" numFmtId="164" xfId="0" applyAlignment="1" applyBorder="1" applyFill="1" applyFont="1" applyNumberFormat="1">
      <alignment horizontal="left" shrinkToFit="0" vertical="center" wrapText="1"/>
    </xf>
    <xf borderId="1" fillId="4" fontId="2" numFmtId="164" xfId="0" applyAlignment="1" applyBorder="1" applyFill="1" applyFont="1" applyNumberFormat="1">
      <alignment horizontal="left" vertical="center"/>
    </xf>
    <xf borderId="1" fillId="4" fontId="2" numFmtId="0" xfId="0" applyAlignment="1" applyBorder="1" applyFill="1" applyFont="1">
      <alignment horizontal="left" vertical="top"/>
    </xf>
    <xf borderId="1" fillId="4" fontId="2" numFmtId="0" xfId="0" applyAlignment="1" applyBorder="1" applyFill="1" applyFont="1">
      <alignment horizontal="left" readingOrder="0" shrinkToFit="0" vertical="top" wrapText="1"/>
    </xf>
    <xf borderId="1" fillId="4" fontId="5" numFmtId="0" xfId="0" applyAlignment="1" applyBorder="1" applyFill="1" applyFont="1">
      <alignment horizontal="left"/>
    </xf>
    <xf borderId="1" fillId="4" fontId="5" numFmtId="164" xfId="0" applyAlignment="1" applyBorder="1" applyFill="1" applyFont="1" applyNumberFormat="1">
      <alignment horizontal="left" vertical="center"/>
    </xf>
    <xf borderId="3" fillId="5" fontId="2" numFmtId="0" xfId="0" applyAlignment="1" applyBorder="1" applyFill="1" applyFont="1">
      <alignment horizontal="left" shrinkToFit="0" wrapText="1"/>
    </xf>
    <xf borderId="3" fillId="5" fontId="2" numFmtId="164" xfId="0" applyAlignment="1" applyBorder="1" applyFill="1" applyFont="1" applyNumberFormat="1">
      <alignment horizontal="left" shrinkToFit="0" vertical="center" wrapText="1"/>
    </xf>
    <xf borderId="1" fillId="5" fontId="2" numFmtId="164" xfId="0" applyAlignment="1" applyBorder="1" applyFill="1" applyFont="1" applyNumberFormat="1">
      <alignment horizontal="left" vertical="center"/>
    </xf>
    <xf borderId="1" fillId="5" fontId="2" numFmtId="0" xfId="0" applyAlignment="1" applyBorder="1" applyFill="1" applyFont="1">
      <alignment horizontal="left" vertical="top"/>
    </xf>
    <xf borderId="1" fillId="5" fontId="2" numFmtId="0" xfId="0" applyAlignment="1" applyBorder="1" applyFill="1" applyFont="1">
      <alignment horizontal="left" readingOrder="0" shrinkToFit="0" vertical="top" wrapText="1"/>
    </xf>
    <xf borderId="1" fillId="5" fontId="2" numFmtId="0" xfId="0" applyAlignment="1" applyBorder="1" applyFill="1" applyFont="1">
      <alignment horizontal="left"/>
    </xf>
    <xf borderId="0" fillId="0" fontId="7" numFmtId="0" xfId="0" applyAlignment="1" applyFont="1">
      <alignment horizontal="left"/>
    </xf>
    <xf borderId="2" fillId="6" fontId="5" numFmtId="0" xfId="0" applyAlignment="1" applyBorder="1" applyFill="1" applyFont="1">
      <alignment horizontal="left"/>
    </xf>
    <xf borderId="2" fillId="6" fontId="8" numFmtId="0" xfId="0" applyAlignment="1" applyBorder="1" applyFill="1" applyFont="1">
      <alignment horizontal="left"/>
    </xf>
    <xf borderId="0" fillId="0" fontId="8" numFmtId="0" xfId="0" applyAlignment="1" applyFont="1">
      <alignment horizontal="left"/>
    </xf>
    <xf borderId="5" fillId="7" fontId="9" numFmtId="0" xfId="0" applyAlignment="1" applyBorder="1" applyFill="1" applyFont="1">
      <alignment horizontal="left" vertical="center"/>
    </xf>
    <xf borderId="5" fillId="0" fontId="3" numFmtId="0" xfId="0" applyAlignment="1" applyBorder="1" applyFont="1">
      <alignment horizontal="left"/>
    </xf>
    <xf borderId="5" fillId="0" fontId="3" numFmtId="1" xfId="0" applyAlignment="1" applyBorder="1" applyFont="1" applyNumberFormat="1">
      <alignment horizontal="left"/>
    </xf>
    <xf borderId="5" fillId="7" fontId="10" numFmtId="0" xfId="0" applyAlignment="1" applyBorder="1" applyFill="1" applyFont="1">
      <alignment horizontal="left"/>
    </xf>
    <xf borderId="5" fillId="7" fontId="10" numFmtId="1" xfId="0" applyAlignment="1" applyBorder="1" applyFill="1" applyFont="1" applyNumberFormat="1">
      <alignment horizontal="left"/>
    </xf>
    <xf borderId="0" fillId="0" fontId="1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6.5"/>
    <col customWidth="1" min="2" max="2" width="31.88"/>
    <col customWidth="1" min="3" max="3" width="13.13"/>
    <col customWidth="1" min="4" max="4" width="11.38"/>
    <col customWidth="1" min="5" max="5" width="37.0"/>
    <col customWidth="1" min="6" max="6" width="10.25"/>
    <col customWidth="1" min="7" max="7" width="15.63"/>
    <col customWidth="1" min="8" max="8" width="11.0"/>
    <col customWidth="1" min="9" max="9" width="15.13"/>
    <col customWidth="1" min="10" max="11" width="11.0"/>
    <col customWidth="1" min="12" max="12" width="13.0"/>
    <col customWidth="1" min="13" max="13" width="11.0"/>
    <col customWidth="1" min="14" max="14" width="13.88"/>
    <col customWidth="1" min="15" max="15" width="13.0"/>
    <col customWidth="1" min="16" max="16" width="11.0"/>
    <col customWidth="1" min="17" max="17" width="10.0"/>
    <col customWidth="1" min="18" max="18" width="12.0"/>
  </cols>
  <sheetData>
    <row r="1" ht="13.5" customHeight="1">
      <c r="A1" s="6" t="s">
        <v>1</v>
      </c>
      <c r="B1" s="6" t="s">
        <v>19</v>
      </c>
      <c r="C1" s="6" t="s">
        <v>20</v>
      </c>
      <c r="D1" s="6" t="s">
        <v>21</v>
      </c>
      <c r="E1" s="6" t="s">
        <v>22</v>
      </c>
      <c r="F1" s="6" t="s">
        <v>23</v>
      </c>
      <c r="G1" s="9" t="s">
        <v>25</v>
      </c>
      <c r="H1" s="9" t="s">
        <v>27</v>
      </c>
      <c r="I1" s="9" t="s">
        <v>29</v>
      </c>
      <c r="J1" s="9" t="s">
        <v>30</v>
      </c>
      <c r="K1" s="9" t="s">
        <v>31</v>
      </c>
      <c r="L1" s="6" t="s">
        <v>34</v>
      </c>
      <c r="M1" s="6" t="s">
        <v>9</v>
      </c>
      <c r="N1" s="12" t="s">
        <v>37</v>
      </c>
      <c r="O1" s="14" t="s">
        <v>39</v>
      </c>
      <c r="P1" s="16" t="s">
        <v>40</v>
      </c>
      <c r="Q1" s="16" t="s">
        <v>42</v>
      </c>
      <c r="R1" s="16" t="s">
        <v>43</v>
      </c>
      <c r="S1" s="16"/>
      <c r="T1" s="16"/>
      <c r="U1" s="16"/>
      <c r="V1" s="16"/>
      <c r="W1" s="16"/>
      <c r="X1" s="16"/>
      <c r="Y1" s="16"/>
      <c r="Z1" s="16"/>
    </row>
    <row r="2" ht="13.5" customHeight="1">
      <c r="A2" s="18" t="s">
        <v>46</v>
      </c>
      <c r="B2" s="18" t="s">
        <v>47</v>
      </c>
      <c r="C2" s="18" t="s">
        <v>48</v>
      </c>
      <c r="D2" s="18" t="s">
        <v>49</v>
      </c>
      <c r="E2" s="18" t="s">
        <v>50</v>
      </c>
      <c r="F2" s="18" t="s">
        <v>52</v>
      </c>
      <c r="G2" s="20">
        <v>1.0</v>
      </c>
      <c r="H2" s="20">
        <v>0.9</v>
      </c>
      <c r="I2" s="20">
        <v>1.8</v>
      </c>
      <c r="J2" s="20">
        <v>0.7</v>
      </c>
      <c r="K2" s="21">
        <v>0.3</v>
      </c>
      <c r="L2" s="22" t="s">
        <v>56</v>
      </c>
      <c r="M2" s="23" t="s">
        <v>57</v>
      </c>
      <c r="N2" s="24" t="s">
        <v>58</v>
      </c>
      <c r="O2" s="24"/>
      <c r="P2" s="25"/>
      <c r="Q2" s="25" t="s">
        <v>57</v>
      </c>
      <c r="R2" s="25" t="s">
        <v>59</v>
      </c>
      <c r="S2" s="16"/>
      <c r="T2" s="16"/>
      <c r="U2" s="16"/>
      <c r="V2" s="16"/>
      <c r="W2" s="16"/>
      <c r="X2" s="16"/>
      <c r="Y2" s="16"/>
      <c r="Z2" s="16"/>
    </row>
    <row r="3" ht="13.5" customHeight="1">
      <c r="A3" s="18" t="s">
        <v>60</v>
      </c>
      <c r="B3" s="18" t="s">
        <v>47</v>
      </c>
      <c r="C3" s="18" t="s">
        <v>61</v>
      </c>
      <c r="D3" s="18" t="s">
        <v>49</v>
      </c>
      <c r="E3" s="18" t="s">
        <v>62</v>
      </c>
      <c r="F3" s="18" t="s">
        <v>32</v>
      </c>
      <c r="G3" s="20">
        <v>1.0</v>
      </c>
      <c r="H3" s="20">
        <v>1.2</v>
      </c>
      <c r="I3" s="20">
        <v>3.4</v>
      </c>
      <c r="J3" s="20">
        <v>1.2</v>
      </c>
      <c r="K3" s="21">
        <v>0.5</v>
      </c>
      <c r="L3" s="26" t="s">
        <v>56</v>
      </c>
      <c r="M3" s="23" t="s">
        <v>57</v>
      </c>
      <c r="N3" s="24" t="s">
        <v>58</v>
      </c>
      <c r="O3" s="24"/>
      <c r="P3" s="25"/>
      <c r="Q3" s="25" t="s">
        <v>57</v>
      </c>
      <c r="R3" s="25" t="s">
        <v>59</v>
      </c>
      <c r="S3" s="16"/>
      <c r="T3" s="16"/>
      <c r="U3" s="16"/>
      <c r="V3" s="16"/>
      <c r="W3" s="16"/>
      <c r="X3" s="16"/>
      <c r="Y3" s="16"/>
      <c r="Z3" s="16"/>
    </row>
    <row r="4" ht="13.5" customHeight="1">
      <c r="A4" s="18" t="s">
        <v>63</v>
      </c>
      <c r="B4" s="18" t="s">
        <v>47</v>
      </c>
      <c r="C4" s="18" t="s">
        <v>64</v>
      </c>
      <c r="D4" s="18" t="s">
        <v>49</v>
      </c>
      <c r="E4" s="18" t="s">
        <v>65</v>
      </c>
      <c r="F4" s="18" t="s">
        <v>52</v>
      </c>
      <c r="G4" s="20">
        <v>1.0</v>
      </c>
      <c r="H4" s="20">
        <v>0.9</v>
      </c>
      <c r="I4" s="20">
        <v>1.8</v>
      </c>
      <c r="J4" s="20">
        <v>0.7</v>
      </c>
      <c r="K4" s="21">
        <v>0.3</v>
      </c>
      <c r="L4" s="26" t="s">
        <v>56</v>
      </c>
      <c r="M4" s="23" t="s">
        <v>57</v>
      </c>
      <c r="N4" s="24" t="s">
        <v>58</v>
      </c>
      <c r="O4" s="24"/>
      <c r="P4" s="25"/>
      <c r="Q4" s="25" t="s">
        <v>57</v>
      </c>
      <c r="R4" s="25" t="s">
        <v>66</v>
      </c>
      <c r="S4" s="16"/>
      <c r="T4" s="16"/>
      <c r="U4" s="16"/>
      <c r="V4" s="16"/>
      <c r="W4" s="16"/>
      <c r="X4" s="16"/>
      <c r="Y4" s="16"/>
      <c r="Z4" s="16"/>
    </row>
    <row r="5" ht="13.5" customHeight="1">
      <c r="A5" s="18" t="s">
        <v>67</v>
      </c>
      <c r="B5" s="18" t="s">
        <v>47</v>
      </c>
      <c r="C5" s="18" t="s">
        <v>68</v>
      </c>
      <c r="D5" s="18" t="s">
        <v>69</v>
      </c>
      <c r="E5" s="18" t="s">
        <v>70</v>
      </c>
      <c r="F5" s="18" t="s">
        <v>52</v>
      </c>
      <c r="G5" s="20">
        <v>1.0</v>
      </c>
      <c r="H5" s="20">
        <v>0.9</v>
      </c>
      <c r="I5" s="20">
        <v>1.8</v>
      </c>
      <c r="J5" s="20">
        <v>0.7</v>
      </c>
      <c r="K5" s="21">
        <v>0.3</v>
      </c>
      <c r="L5" s="26" t="s">
        <v>56</v>
      </c>
      <c r="M5" s="23" t="s">
        <v>57</v>
      </c>
      <c r="N5" s="24" t="s">
        <v>58</v>
      </c>
      <c r="O5" s="24"/>
      <c r="P5" s="25"/>
      <c r="Q5" s="25" t="s">
        <v>57</v>
      </c>
      <c r="R5" s="25" t="s">
        <v>66</v>
      </c>
      <c r="S5" s="16"/>
      <c r="T5" s="16"/>
      <c r="U5" s="16"/>
      <c r="V5" s="16"/>
      <c r="W5" s="16"/>
      <c r="X5" s="16"/>
      <c r="Y5" s="16"/>
      <c r="Z5" s="16"/>
    </row>
    <row r="6" ht="13.5" customHeight="1">
      <c r="A6" s="18" t="s">
        <v>71</v>
      </c>
      <c r="B6" s="18" t="s">
        <v>47</v>
      </c>
      <c r="C6" s="18" t="s">
        <v>72</v>
      </c>
      <c r="D6" s="18" t="s">
        <v>49</v>
      </c>
      <c r="E6" s="18" t="s">
        <v>73</v>
      </c>
      <c r="F6" s="18" t="s">
        <v>52</v>
      </c>
      <c r="G6" s="20">
        <v>1.0</v>
      </c>
      <c r="H6" s="20">
        <v>0.9</v>
      </c>
      <c r="I6" s="20">
        <v>1.8</v>
      </c>
      <c r="J6" s="20">
        <v>0.7</v>
      </c>
      <c r="K6" s="21">
        <v>0.3</v>
      </c>
      <c r="L6" s="26" t="s">
        <v>56</v>
      </c>
      <c r="M6" s="23" t="s">
        <v>57</v>
      </c>
      <c r="N6" s="24" t="s">
        <v>58</v>
      </c>
      <c r="O6" s="24"/>
      <c r="P6" s="25"/>
      <c r="Q6" s="25" t="s">
        <v>57</v>
      </c>
      <c r="R6" s="25" t="s">
        <v>74</v>
      </c>
      <c r="S6" s="16"/>
      <c r="T6" s="16"/>
      <c r="U6" s="16"/>
      <c r="V6" s="16"/>
      <c r="W6" s="16"/>
      <c r="X6" s="16"/>
      <c r="Y6" s="16"/>
      <c r="Z6" s="16"/>
    </row>
    <row r="7" ht="13.5" customHeight="1">
      <c r="A7" s="18" t="s">
        <v>75</v>
      </c>
      <c r="B7" s="18" t="s">
        <v>76</v>
      </c>
      <c r="C7" s="18" t="s">
        <v>77</v>
      </c>
      <c r="D7" s="18" t="s">
        <v>49</v>
      </c>
      <c r="E7" s="18" t="s">
        <v>78</v>
      </c>
      <c r="F7" s="18" t="s">
        <v>32</v>
      </c>
      <c r="G7" s="20">
        <v>1.0</v>
      </c>
      <c r="H7" s="20">
        <v>1.2</v>
      </c>
      <c r="I7" s="20">
        <v>3.8</v>
      </c>
      <c r="J7" s="20">
        <v>1.4</v>
      </c>
      <c r="K7" s="21">
        <v>0.6</v>
      </c>
      <c r="L7" s="26" t="s">
        <v>56</v>
      </c>
      <c r="M7" s="23" t="s">
        <v>57</v>
      </c>
      <c r="N7" s="24" t="s">
        <v>58</v>
      </c>
      <c r="O7" s="24"/>
      <c r="P7" s="25"/>
      <c r="Q7" s="25" t="s">
        <v>57</v>
      </c>
      <c r="R7" s="25" t="s">
        <v>74</v>
      </c>
      <c r="S7" s="16"/>
      <c r="T7" s="16"/>
      <c r="U7" s="16"/>
      <c r="V7" s="16"/>
      <c r="W7" s="16"/>
      <c r="X7" s="16"/>
      <c r="Y7" s="16"/>
      <c r="Z7" s="16"/>
    </row>
    <row r="8" ht="13.5" customHeight="1">
      <c r="A8" s="18" t="s">
        <v>79</v>
      </c>
      <c r="B8" s="18" t="s">
        <v>76</v>
      </c>
      <c r="C8" s="18" t="s">
        <v>80</v>
      </c>
      <c r="D8" s="18" t="s">
        <v>49</v>
      </c>
      <c r="E8" s="18" t="s">
        <v>81</v>
      </c>
      <c r="F8" s="18" t="s">
        <v>32</v>
      </c>
      <c r="G8" s="20">
        <v>1.0</v>
      </c>
      <c r="H8" s="20">
        <v>1.2</v>
      </c>
      <c r="I8" s="20">
        <v>3.8</v>
      </c>
      <c r="J8" s="20">
        <v>1.4</v>
      </c>
      <c r="K8" s="21">
        <v>0.6</v>
      </c>
      <c r="L8" s="26" t="s">
        <v>56</v>
      </c>
      <c r="M8" s="23" t="s">
        <v>57</v>
      </c>
      <c r="N8" s="24" t="s">
        <v>58</v>
      </c>
      <c r="O8" s="24"/>
      <c r="P8" s="25"/>
      <c r="Q8" s="25" t="s">
        <v>57</v>
      </c>
      <c r="R8" s="25" t="s">
        <v>74</v>
      </c>
      <c r="S8" s="16"/>
      <c r="T8" s="16"/>
      <c r="U8" s="16"/>
      <c r="V8" s="16"/>
      <c r="W8" s="16"/>
      <c r="X8" s="16"/>
      <c r="Y8" s="16"/>
      <c r="Z8" s="16"/>
    </row>
    <row r="9" ht="13.5" customHeight="1">
      <c r="A9" s="18" t="s">
        <v>82</v>
      </c>
      <c r="B9" s="18" t="s">
        <v>83</v>
      </c>
      <c r="C9" s="18" t="s">
        <v>84</v>
      </c>
      <c r="D9" s="18" t="s">
        <v>49</v>
      </c>
      <c r="E9" s="18" t="s">
        <v>85</v>
      </c>
      <c r="F9" s="18" t="s">
        <v>32</v>
      </c>
      <c r="G9" s="20">
        <v>1.0</v>
      </c>
      <c r="H9" s="20">
        <v>1.2</v>
      </c>
      <c r="I9" s="20">
        <v>4.3</v>
      </c>
      <c r="J9" s="20">
        <v>1.6</v>
      </c>
      <c r="K9" s="21">
        <v>0.6</v>
      </c>
      <c r="L9" s="26" t="s">
        <v>56</v>
      </c>
      <c r="M9" s="23" t="s">
        <v>57</v>
      </c>
      <c r="N9" s="24" t="s">
        <v>58</v>
      </c>
      <c r="O9" s="24"/>
      <c r="P9" s="25"/>
      <c r="Q9" s="25" t="s">
        <v>57</v>
      </c>
      <c r="R9" s="25" t="s">
        <v>86</v>
      </c>
      <c r="S9" s="16"/>
      <c r="T9" s="16"/>
      <c r="U9" s="16"/>
      <c r="V9" s="16"/>
      <c r="W9" s="16"/>
      <c r="X9" s="16"/>
      <c r="Y9" s="16"/>
      <c r="Z9" s="16"/>
    </row>
    <row r="10" ht="13.5" customHeight="1">
      <c r="A10" s="18" t="s">
        <v>87</v>
      </c>
      <c r="B10" s="18" t="s">
        <v>88</v>
      </c>
      <c r="C10" s="18" t="s">
        <v>89</v>
      </c>
      <c r="D10" s="18" t="s">
        <v>49</v>
      </c>
      <c r="E10" s="18" t="s">
        <v>90</v>
      </c>
      <c r="F10" s="18" t="s">
        <v>52</v>
      </c>
      <c r="G10" s="20">
        <v>1.0</v>
      </c>
      <c r="H10" s="20">
        <v>0.9</v>
      </c>
      <c r="I10" s="20">
        <v>2.2</v>
      </c>
      <c r="J10" s="20">
        <v>0.8</v>
      </c>
      <c r="K10" s="21">
        <v>0.3</v>
      </c>
      <c r="L10" s="26" t="s">
        <v>56</v>
      </c>
      <c r="M10" s="23" t="s">
        <v>57</v>
      </c>
      <c r="N10" s="24" t="s">
        <v>58</v>
      </c>
      <c r="O10" s="24"/>
      <c r="P10" s="25"/>
      <c r="Q10" s="25" t="s">
        <v>57</v>
      </c>
      <c r="R10" s="25" t="s">
        <v>91</v>
      </c>
      <c r="S10" s="16"/>
      <c r="T10" s="16"/>
      <c r="U10" s="16"/>
      <c r="V10" s="16"/>
      <c r="W10" s="16"/>
      <c r="X10" s="16"/>
      <c r="Y10" s="16"/>
      <c r="Z10" s="16"/>
    </row>
    <row r="11" ht="13.5" customHeight="1">
      <c r="A11" s="18" t="s">
        <v>92</v>
      </c>
      <c r="B11" s="18" t="s">
        <v>88</v>
      </c>
      <c r="C11" s="18" t="s">
        <v>93</v>
      </c>
      <c r="D11" s="18" t="s">
        <v>49</v>
      </c>
      <c r="E11" s="18" t="s">
        <v>94</v>
      </c>
      <c r="F11" s="18" t="s">
        <v>52</v>
      </c>
      <c r="G11" s="20">
        <v>1.0</v>
      </c>
      <c r="H11" s="20">
        <v>0.9</v>
      </c>
      <c r="I11" s="20">
        <v>1.8</v>
      </c>
      <c r="J11" s="20">
        <v>0.6</v>
      </c>
      <c r="K11" s="21">
        <v>0.3</v>
      </c>
      <c r="L11" s="26" t="s">
        <v>56</v>
      </c>
      <c r="M11" s="23" t="s">
        <v>57</v>
      </c>
      <c r="N11" s="24" t="s">
        <v>58</v>
      </c>
      <c r="O11" s="24"/>
      <c r="P11" s="25"/>
      <c r="Q11" s="25" t="s">
        <v>57</v>
      </c>
      <c r="R11" s="25" t="s">
        <v>91</v>
      </c>
      <c r="S11" s="16"/>
      <c r="T11" s="16"/>
      <c r="U11" s="16"/>
      <c r="V11" s="16"/>
      <c r="W11" s="16"/>
      <c r="X11" s="16"/>
      <c r="Y11" s="16"/>
      <c r="Z11" s="16"/>
    </row>
    <row r="12" ht="13.5" customHeight="1">
      <c r="A12" s="18" t="s">
        <v>95</v>
      </c>
      <c r="B12" s="18" t="s">
        <v>96</v>
      </c>
      <c r="C12" s="18" t="s">
        <v>97</v>
      </c>
      <c r="D12" s="18" t="s">
        <v>49</v>
      </c>
      <c r="E12" s="18" t="s">
        <v>98</v>
      </c>
      <c r="F12" s="18" t="s">
        <v>52</v>
      </c>
      <c r="G12" s="20">
        <v>1.0</v>
      </c>
      <c r="H12" s="20">
        <v>0.9</v>
      </c>
      <c r="I12" s="20">
        <v>1.8</v>
      </c>
      <c r="J12" s="20">
        <v>0.6</v>
      </c>
      <c r="K12" s="27">
        <v>0.3</v>
      </c>
      <c r="L12" s="26" t="s">
        <v>56</v>
      </c>
      <c r="M12" s="23" t="s">
        <v>57</v>
      </c>
      <c r="N12" s="24" t="s">
        <v>58</v>
      </c>
      <c r="O12" s="24"/>
      <c r="P12" s="25"/>
      <c r="Q12" s="25" t="s">
        <v>57</v>
      </c>
      <c r="R12" s="25" t="s">
        <v>86</v>
      </c>
      <c r="S12" s="16"/>
      <c r="T12" s="16"/>
      <c r="U12" s="16"/>
      <c r="V12" s="16"/>
      <c r="W12" s="16"/>
      <c r="X12" s="16"/>
      <c r="Y12" s="16"/>
      <c r="Z12" s="16"/>
    </row>
    <row r="13" ht="12.75" customHeight="1">
      <c r="A13" s="18" t="s">
        <v>99</v>
      </c>
      <c r="B13" s="18" t="s">
        <v>96</v>
      </c>
      <c r="C13" s="18" t="s">
        <v>100</v>
      </c>
      <c r="D13" s="18" t="s">
        <v>49</v>
      </c>
      <c r="E13" s="18" t="s">
        <v>101</v>
      </c>
      <c r="F13" s="18" t="s">
        <v>102</v>
      </c>
      <c r="G13" s="20">
        <v>1.0</v>
      </c>
      <c r="H13" s="20">
        <v>1.5</v>
      </c>
      <c r="I13" s="20">
        <v>8.1</v>
      </c>
      <c r="J13" s="20">
        <v>3.1</v>
      </c>
      <c r="K13" s="27">
        <v>1.2</v>
      </c>
      <c r="L13" s="26" t="s">
        <v>56</v>
      </c>
      <c r="M13" s="23" t="s">
        <v>57</v>
      </c>
      <c r="N13" s="24" t="s">
        <v>58</v>
      </c>
      <c r="O13" s="24"/>
      <c r="P13" s="25"/>
      <c r="Q13" s="25" t="s">
        <v>57</v>
      </c>
      <c r="R13" s="25" t="s">
        <v>91</v>
      </c>
      <c r="S13" s="16"/>
      <c r="T13" s="16"/>
      <c r="U13" s="16"/>
      <c r="V13" s="16"/>
      <c r="W13" s="16"/>
      <c r="X13" s="16"/>
      <c r="Y13" s="16"/>
      <c r="Z13" s="16"/>
    </row>
    <row r="14" ht="13.5" customHeight="1">
      <c r="A14" s="18" t="s">
        <v>103</v>
      </c>
      <c r="B14" s="18" t="s">
        <v>96</v>
      </c>
      <c r="C14" s="18" t="s">
        <v>104</v>
      </c>
      <c r="D14" s="18" t="s">
        <v>49</v>
      </c>
      <c r="E14" s="18" t="s">
        <v>105</v>
      </c>
      <c r="F14" s="18" t="s">
        <v>32</v>
      </c>
      <c r="G14" s="20">
        <v>1.0</v>
      </c>
      <c r="H14" s="20">
        <v>1.2</v>
      </c>
      <c r="I14" s="20">
        <v>2.9</v>
      </c>
      <c r="J14" s="20">
        <v>1.1</v>
      </c>
      <c r="K14" s="21">
        <v>0.4</v>
      </c>
      <c r="L14" s="26" t="s">
        <v>56</v>
      </c>
      <c r="M14" s="23" t="s">
        <v>57</v>
      </c>
      <c r="N14" s="24" t="s">
        <v>58</v>
      </c>
      <c r="O14" s="24"/>
      <c r="P14" s="25"/>
      <c r="Q14" s="25" t="s">
        <v>57</v>
      </c>
      <c r="R14" s="25" t="s">
        <v>59</v>
      </c>
      <c r="S14" s="16"/>
      <c r="T14" s="16"/>
      <c r="U14" s="16"/>
      <c r="V14" s="16"/>
      <c r="W14" s="16"/>
      <c r="X14" s="16"/>
      <c r="Y14" s="16"/>
      <c r="Z14" s="16"/>
    </row>
    <row r="15" ht="13.5" customHeight="1">
      <c r="A15" s="18" t="s">
        <v>106</v>
      </c>
      <c r="B15" s="18" t="s">
        <v>107</v>
      </c>
      <c r="C15" s="18" t="s">
        <v>108</v>
      </c>
      <c r="D15" s="18" t="s">
        <v>49</v>
      </c>
      <c r="E15" s="18" t="s">
        <v>109</v>
      </c>
      <c r="F15" s="18" t="s">
        <v>32</v>
      </c>
      <c r="G15" s="20">
        <v>1.0</v>
      </c>
      <c r="H15" s="20">
        <v>1.1</v>
      </c>
      <c r="I15" s="20">
        <v>3.4</v>
      </c>
      <c r="J15" s="28">
        <v>1.2</v>
      </c>
      <c r="K15" s="21">
        <v>0.5</v>
      </c>
      <c r="L15" s="26" t="s">
        <v>56</v>
      </c>
      <c r="M15" s="23" t="s">
        <v>57</v>
      </c>
      <c r="N15" s="24" t="s">
        <v>58</v>
      </c>
      <c r="O15" s="24"/>
      <c r="P15" s="25"/>
      <c r="Q15" s="25" t="s">
        <v>57</v>
      </c>
      <c r="R15" s="25" t="s">
        <v>86</v>
      </c>
      <c r="S15" s="16"/>
      <c r="T15" s="16"/>
      <c r="U15" s="16"/>
      <c r="V15" s="16"/>
      <c r="W15" s="16"/>
      <c r="X15" s="16"/>
      <c r="Y15" s="16"/>
      <c r="Z15" s="16"/>
    </row>
    <row r="16" ht="12.75" customHeight="1">
      <c r="A16" s="18" t="s">
        <v>110</v>
      </c>
      <c r="B16" s="18" t="s">
        <v>88</v>
      </c>
      <c r="C16" s="18" t="s">
        <v>111</v>
      </c>
      <c r="D16" s="18" t="s">
        <v>49</v>
      </c>
      <c r="E16" s="18" t="s">
        <v>112</v>
      </c>
      <c r="F16" s="18" t="s">
        <v>32</v>
      </c>
      <c r="G16" s="20">
        <v>1.0</v>
      </c>
      <c r="H16" s="20">
        <v>1.1</v>
      </c>
      <c r="I16" s="20">
        <v>3.3</v>
      </c>
      <c r="J16" s="28">
        <v>1.2</v>
      </c>
      <c r="K16" s="21">
        <v>0.5</v>
      </c>
      <c r="L16" s="26" t="s">
        <v>56</v>
      </c>
      <c r="M16" s="23" t="s">
        <v>57</v>
      </c>
      <c r="N16" s="24" t="s">
        <v>58</v>
      </c>
      <c r="O16" s="24"/>
      <c r="P16" s="25"/>
      <c r="Q16" s="25" t="s">
        <v>57</v>
      </c>
      <c r="R16" s="25" t="s">
        <v>66</v>
      </c>
      <c r="S16" s="16"/>
      <c r="T16" s="16"/>
      <c r="U16" s="16"/>
      <c r="V16" s="16"/>
      <c r="W16" s="16"/>
      <c r="X16" s="16"/>
      <c r="Y16" s="16"/>
      <c r="Z16" s="16"/>
    </row>
    <row r="17" ht="12.75" customHeight="1">
      <c r="A17" s="29" t="s">
        <v>113</v>
      </c>
      <c r="B17" s="29" t="s">
        <v>47</v>
      </c>
      <c r="C17" s="29" t="s">
        <v>114</v>
      </c>
      <c r="D17" s="29" t="s">
        <v>49</v>
      </c>
      <c r="E17" s="29" t="s">
        <v>115</v>
      </c>
      <c r="F17" s="29" t="s">
        <v>32</v>
      </c>
      <c r="G17" s="30">
        <v>1.0</v>
      </c>
      <c r="H17" s="30">
        <v>1.0</v>
      </c>
      <c r="I17" s="30">
        <v>3.6</v>
      </c>
      <c r="J17" s="31">
        <v>1.2</v>
      </c>
      <c r="K17" s="32">
        <v>0.7</v>
      </c>
      <c r="L17" s="33" t="s">
        <v>116</v>
      </c>
      <c r="M17" s="34" t="s">
        <v>57</v>
      </c>
      <c r="N17" s="35" t="s">
        <v>58</v>
      </c>
      <c r="O17" s="24"/>
      <c r="P17" s="25"/>
      <c r="Q17" s="25" t="s">
        <v>57</v>
      </c>
      <c r="R17" s="25" t="s">
        <v>91</v>
      </c>
      <c r="S17" s="16"/>
      <c r="T17" s="16"/>
      <c r="U17" s="16"/>
      <c r="V17" s="16"/>
      <c r="W17" s="16"/>
      <c r="X17" s="16"/>
      <c r="Y17" s="16"/>
      <c r="Z17" s="16"/>
    </row>
    <row r="18" ht="12.75" customHeight="1">
      <c r="A18" s="29" t="s">
        <v>117</v>
      </c>
      <c r="B18" s="29" t="s">
        <v>118</v>
      </c>
      <c r="C18" s="29" t="s">
        <v>119</v>
      </c>
      <c r="D18" s="29" t="s">
        <v>49</v>
      </c>
      <c r="E18" s="29" t="s">
        <v>120</v>
      </c>
      <c r="F18" s="29" t="s">
        <v>32</v>
      </c>
      <c r="G18" s="30">
        <v>1.0</v>
      </c>
      <c r="H18" s="30">
        <v>1.0</v>
      </c>
      <c r="I18" s="30">
        <v>3.1</v>
      </c>
      <c r="J18" s="31">
        <v>1.0</v>
      </c>
      <c r="K18" s="32">
        <v>0.6</v>
      </c>
      <c r="L18" s="33" t="s">
        <v>116</v>
      </c>
      <c r="M18" s="34" t="s">
        <v>57</v>
      </c>
      <c r="N18" s="34" t="s">
        <v>57</v>
      </c>
      <c r="O18" s="24"/>
      <c r="P18" s="25"/>
      <c r="Q18" s="25" t="s">
        <v>57</v>
      </c>
      <c r="R18" s="25"/>
      <c r="S18" s="16"/>
      <c r="T18" s="16"/>
      <c r="U18" s="16"/>
      <c r="V18" s="16"/>
      <c r="W18" s="16"/>
      <c r="X18" s="16"/>
      <c r="Y18" s="16"/>
      <c r="Z18" s="16"/>
    </row>
    <row r="19" ht="12.75" customHeight="1">
      <c r="A19" s="29" t="s">
        <v>121</v>
      </c>
      <c r="B19" s="29" t="s">
        <v>122</v>
      </c>
      <c r="C19" s="29" t="s">
        <v>123</v>
      </c>
      <c r="D19" s="29" t="s">
        <v>49</v>
      </c>
      <c r="E19" s="29" t="s">
        <v>124</v>
      </c>
      <c r="F19" s="29" t="s">
        <v>32</v>
      </c>
      <c r="G19" s="30">
        <v>1.0</v>
      </c>
      <c r="H19" s="30">
        <v>1.0</v>
      </c>
      <c r="I19" s="30">
        <v>3.6</v>
      </c>
      <c r="J19" s="31">
        <v>1.2</v>
      </c>
      <c r="K19" s="32">
        <v>0.7</v>
      </c>
      <c r="L19" s="33" t="s">
        <v>116</v>
      </c>
      <c r="M19" s="34" t="s">
        <v>57</v>
      </c>
      <c r="N19" s="34" t="s">
        <v>57</v>
      </c>
      <c r="O19" s="24"/>
      <c r="P19" s="25"/>
      <c r="Q19" s="25" t="s">
        <v>57</v>
      </c>
      <c r="R19" s="25"/>
      <c r="S19" s="16"/>
      <c r="T19" s="16"/>
      <c r="U19" s="16"/>
      <c r="V19" s="16"/>
      <c r="W19" s="16"/>
      <c r="X19" s="16"/>
      <c r="Y19" s="16"/>
      <c r="Z19" s="16"/>
    </row>
    <row r="20" ht="12.75" customHeight="1">
      <c r="A20" s="29" t="s">
        <v>125</v>
      </c>
      <c r="B20" s="29" t="s">
        <v>122</v>
      </c>
      <c r="C20" s="29" t="s">
        <v>126</v>
      </c>
      <c r="D20" s="29" t="s">
        <v>49</v>
      </c>
      <c r="E20" s="29" t="s">
        <v>127</v>
      </c>
      <c r="F20" s="29" t="s">
        <v>32</v>
      </c>
      <c r="G20" s="30">
        <v>1.0</v>
      </c>
      <c r="H20" s="30">
        <v>1.0</v>
      </c>
      <c r="I20" s="30">
        <v>3.1</v>
      </c>
      <c r="J20" s="31">
        <v>1.0</v>
      </c>
      <c r="K20" s="32">
        <v>0.6</v>
      </c>
      <c r="L20" s="33" t="s">
        <v>116</v>
      </c>
      <c r="M20" s="34" t="s">
        <v>57</v>
      </c>
      <c r="N20" s="34" t="s">
        <v>57</v>
      </c>
      <c r="O20" s="24"/>
      <c r="P20" s="25"/>
      <c r="Q20" s="25" t="s">
        <v>57</v>
      </c>
      <c r="R20" s="25"/>
      <c r="S20" s="16"/>
      <c r="T20" s="16"/>
      <c r="U20" s="16"/>
      <c r="V20" s="16"/>
      <c r="W20" s="16"/>
      <c r="X20" s="16"/>
      <c r="Y20" s="16"/>
      <c r="Z20" s="16"/>
    </row>
    <row r="21" ht="15.75" customHeight="1">
      <c r="A21" s="29" t="s">
        <v>128</v>
      </c>
      <c r="B21" s="29" t="s">
        <v>129</v>
      </c>
      <c r="C21" s="29" t="s">
        <v>130</v>
      </c>
      <c r="D21" s="29" t="s">
        <v>49</v>
      </c>
      <c r="E21" s="29" t="s">
        <v>131</v>
      </c>
      <c r="F21" s="29" t="s">
        <v>102</v>
      </c>
      <c r="G21" s="30">
        <v>1.0</v>
      </c>
      <c r="H21" s="30">
        <v>1.2</v>
      </c>
      <c r="I21" s="30">
        <v>6.4</v>
      </c>
      <c r="J21" s="31">
        <v>2.2</v>
      </c>
      <c r="K21" s="32">
        <v>1.4</v>
      </c>
      <c r="L21" s="33" t="s">
        <v>116</v>
      </c>
      <c r="M21" s="34" t="s">
        <v>57</v>
      </c>
      <c r="N21" s="34" t="s">
        <v>57</v>
      </c>
      <c r="O21" s="24"/>
      <c r="P21" s="25"/>
      <c r="Q21" s="25" t="s">
        <v>57</v>
      </c>
      <c r="R21" s="25"/>
      <c r="S21" s="16"/>
      <c r="T21" s="16"/>
      <c r="U21" s="16"/>
      <c r="V21" s="16"/>
      <c r="W21" s="16"/>
      <c r="X21" s="16"/>
      <c r="Y21" s="16"/>
      <c r="Z21" s="16"/>
    </row>
    <row r="22" ht="13.5" customHeight="1">
      <c r="A22" s="29" t="s">
        <v>132</v>
      </c>
      <c r="B22" s="29" t="s">
        <v>88</v>
      </c>
      <c r="C22" s="29" t="s">
        <v>133</v>
      </c>
      <c r="D22" s="29" t="s">
        <v>49</v>
      </c>
      <c r="E22" s="29" t="s">
        <v>134</v>
      </c>
      <c r="F22" s="29" t="s">
        <v>32</v>
      </c>
      <c r="G22" s="30">
        <v>1.0</v>
      </c>
      <c r="H22" s="30">
        <v>1.0</v>
      </c>
      <c r="I22" s="30">
        <v>3.1</v>
      </c>
      <c r="J22" s="31">
        <v>1.0</v>
      </c>
      <c r="K22" s="32">
        <v>0.6</v>
      </c>
      <c r="L22" s="33" t="s">
        <v>116</v>
      </c>
      <c r="M22" s="34" t="s">
        <v>57</v>
      </c>
      <c r="N22" s="34" t="s">
        <v>57</v>
      </c>
      <c r="O22" s="24"/>
      <c r="P22" s="25"/>
      <c r="Q22" s="25" t="s">
        <v>57</v>
      </c>
      <c r="R22" s="25"/>
      <c r="S22" s="16"/>
      <c r="T22" s="16"/>
      <c r="U22" s="16"/>
      <c r="V22" s="16"/>
      <c r="W22" s="16"/>
      <c r="X22" s="16"/>
      <c r="Y22" s="16"/>
      <c r="Z22" s="16"/>
    </row>
    <row r="23" ht="13.5" customHeight="1">
      <c r="A23" s="29" t="s">
        <v>135</v>
      </c>
      <c r="B23" s="29" t="s">
        <v>136</v>
      </c>
      <c r="C23" s="29" t="s">
        <v>137</v>
      </c>
      <c r="D23" s="29" t="s">
        <v>49</v>
      </c>
      <c r="E23" s="29" t="s">
        <v>138</v>
      </c>
      <c r="F23" s="29" t="s">
        <v>102</v>
      </c>
      <c r="G23" s="30">
        <v>1.0</v>
      </c>
      <c r="H23" s="30">
        <v>1.2</v>
      </c>
      <c r="I23" s="30">
        <v>6.4</v>
      </c>
      <c r="J23" s="31">
        <v>2.2</v>
      </c>
      <c r="K23" s="36">
        <v>1.4</v>
      </c>
      <c r="L23" s="33" t="s">
        <v>116</v>
      </c>
      <c r="M23" s="34" t="s">
        <v>57</v>
      </c>
      <c r="N23" s="34" t="s">
        <v>57</v>
      </c>
      <c r="O23" s="24"/>
      <c r="P23" s="25"/>
      <c r="Q23" s="25" t="s">
        <v>57</v>
      </c>
      <c r="R23" s="25"/>
      <c r="S23" s="16"/>
      <c r="T23" s="16"/>
      <c r="U23" s="16"/>
      <c r="V23" s="16"/>
      <c r="W23" s="16"/>
      <c r="X23" s="16"/>
      <c r="Y23" s="16"/>
      <c r="Z23" s="16"/>
    </row>
    <row r="24" ht="13.5" customHeight="1">
      <c r="A24" s="29" t="s">
        <v>139</v>
      </c>
      <c r="B24" s="29" t="s">
        <v>140</v>
      </c>
      <c r="C24" s="29" t="s">
        <v>141</v>
      </c>
      <c r="D24" s="29" t="s">
        <v>49</v>
      </c>
      <c r="E24" s="29" t="s">
        <v>142</v>
      </c>
      <c r="F24" s="29" t="s">
        <v>52</v>
      </c>
      <c r="G24" s="30">
        <v>1.0</v>
      </c>
      <c r="H24" s="30">
        <v>0.7</v>
      </c>
      <c r="I24" s="30">
        <v>1.7</v>
      </c>
      <c r="J24" s="31">
        <v>0.6</v>
      </c>
      <c r="K24" s="32">
        <v>0.4</v>
      </c>
      <c r="L24" s="33" t="s">
        <v>116</v>
      </c>
      <c r="M24" s="34" t="s">
        <v>57</v>
      </c>
      <c r="N24" s="34" t="s">
        <v>57</v>
      </c>
      <c r="O24" s="24"/>
      <c r="P24" s="25"/>
      <c r="Q24" s="25" t="s">
        <v>57</v>
      </c>
      <c r="R24" s="25"/>
      <c r="S24" s="16"/>
      <c r="T24" s="16"/>
      <c r="U24" s="16"/>
      <c r="V24" s="16"/>
      <c r="W24" s="16"/>
      <c r="X24" s="16"/>
      <c r="Y24" s="16"/>
      <c r="Z24" s="16"/>
    </row>
    <row r="25" ht="13.5" customHeight="1">
      <c r="A25" s="29" t="s">
        <v>143</v>
      </c>
      <c r="B25" s="29" t="s">
        <v>140</v>
      </c>
      <c r="C25" s="29" t="s">
        <v>144</v>
      </c>
      <c r="D25" s="29" t="s">
        <v>49</v>
      </c>
      <c r="E25" s="29" t="s">
        <v>145</v>
      </c>
      <c r="F25" s="29" t="s">
        <v>32</v>
      </c>
      <c r="G25" s="30">
        <v>1.0</v>
      </c>
      <c r="H25" s="30">
        <v>1.0</v>
      </c>
      <c r="I25" s="30">
        <v>3.1</v>
      </c>
      <c r="J25" s="31">
        <v>1.0</v>
      </c>
      <c r="K25" s="32">
        <v>0.6</v>
      </c>
      <c r="L25" s="33" t="s">
        <v>116</v>
      </c>
      <c r="M25" s="34" t="s">
        <v>57</v>
      </c>
      <c r="N25" s="34" t="s">
        <v>57</v>
      </c>
      <c r="O25" s="24"/>
      <c r="P25" s="25"/>
      <c r="Q25" s="25" t="s">
        <v>57</v>
      </c>
      <c r="R25" s="25"/>
      <c r="S25" s="16"/>
      <c r="T25" s="16"/>
      <c r="U25" s="16"/>
      <c r="V25" s="16"/>
      <c r="W25" s="16"/>
      <c r="X25" s="16"/>
      <c r="Y25" s="16"/>
      <c r="Z25" s="16"/>
    </row>
    <row r="26" ht="13.5" customHeight="1">
      <c r="A26" s="29" t="s">
        <v>146</v>
      </c>
      <c r="B26" s="29" t="s">
        <v>88</v>
      </c>
      <c r="C26" s="29" t="s">
        <v>147</v>
      </c>
      <c r="D26" s="29" t="s">
        <v>49</v>
      </c>
      <c r="E26" s="29" t="s">
        <v>148</v>
      </c>
      <c r="F26" s="29" t="s">
        <v>102</v>
      </c>
      <c r="G26" s="30">
        <v>1.0</v>
      </c>
      <c r="H26" s="30">
        <v>1.2</v>
      </c>
      <c r="I26" s="30">
        <v>6.4</v>
      </c>
      <c r="J26" s="31">
        <v>2.2</v>
      </c>
      <c r="K26" s="32">
        <v>1.4</v>
      </c>
      <c r="L26" s="33" t="s">
        <v>116</v>
      </c>
      <c r="M26" s="34" t="s">
        <v>57</v>
      </c>
      <c r="N26" s="34" t="s">
        <v>57</v>
      </c>
      <c r="O26" s="24"/>
      <c r="P26" s="25"/>
      <c r="Q26" s="25" t="s">
        <v>57</v>
      </c>
      <c r="R26" s="25"/>
      <c r="S26" s="16"/>
      <c r="T26" s="16"/>
      <c r="U26" s="16"/>
      <c r="V26" s="16"/>
      <c r="W26" s="16"/>
      <c r="X26" s="16"/>
      <c r="Y26" s="16"/>
      <c r="Z26" s="16"/>
    </row>
    <row r="27" ht="13.5" customHeight="1">
      <c r="A27" s="29" t="s">
        <v>149</v>
      </c>
      <c r="B27" s="29" t="s">
        <v>88</v>
      </c>
      <c r="C27" s="29" t="s">
        <v>150</v>
      </c>
      <c r="D27" s="29" t="s">
        <v>49</v>
      </c>
      <c r="E27" s="29" t="s">
        <v>151</v>
      </c>
      <c r="F27" s="29" t="s">
        <v>52</v>
      </c>
      <c r="G27" s="30">
        <v>1.0</v>
      </c>
      <c r="H27" s="30">
        <v>0.7</v>
      </c>
      <c r="I27" s="30">
        <v>1.7</v>
      </c>
      <c r="J27" s="31">
        <v>0.5</v>
      </c>
      <c r="K27" s="32">
        <v>0.4</v>
      </c>
      <c r="L27" s="33" t="s">
        <v>116</v>
      </c>
      <c r="M27" s="34" t="s">
        <v>57</v>
      </c>
      <c r="N27" s="34" t="s">
        <v>57</v>
      </c>
      <c r="O27" s="24"/>
      <c r="P27" s="25"/>
      <c r="Q27" s="25" t="s">
        <v>57</v>
      </c>
      <c r="R27" s="25"/>
      <c r="S27" s="16"/>
      <c r="T27" s="16"/>
      <c r="U27" s="16"/>
      <c r="V27" s="16"/>
      <c r="W27" s="16"/>
      <c r="X27" s="16"/>
      <c r="Y27" s="16"/>
      <c r="Z27" s="16"/>
    </row>
    <row r="28" ht="13.5" customHeight="1">
      <c r="A28" s="29" t="s">
        <v>152</v>
      </c>
      <c r="B28" s="29" t="s">
        <v>153</v>
      </c>
      <c r="C28" s="29" t="s">
        <v>154</v>
      </c>
      <c r="D28" s="29" t="s">
        <v>49</v>
      </c>
      <c r="E28" s="29" t="s">
        <v>155</v>
      </c>
      <c r="F28" s="29" t="s">
        <v>32</v>
      </c>
      <c r="G28" s="30">
        <v>1.0</v>
      </c>
      <c r="H28" s="30">
        <v>1.0</v>
      </c>
      <c r="I28" s="30">
        <v>2.7</v>
      </c>
      <c r="J28" s="31">
        <v>0.9</v>
      </c>
      <c r="K28" s="32">
        <v>0.6</v>
      </c>
      <c r="L28" s="33" t="s">
        <v>116</v>
      </c>
      <c r="M28" s="34" t="s">
        <v>57</v>
      </c>
      <c r="N28" s="34" t="s">
        <v>57</v>
      </c>
      <c r="O28" s="24"/>
      <c r="P28" s="25"/>
      <c r="Q28" s="25" t="s">
        <v>57</v>
      </c>
      <c r="R28" s="25"/>
      <c r="S28" s="16"/>
      <c r="T28" s="16"/>
      <c r="U28" s="16"/>
      <c r="V28" s="16"/>
      <c r="W28" s="16"/>
      <c r="X28" s="16"/>
      <c r="Y28" s="16"/>
      <c r="Z28" s="16"/>
    </row>
    <row r="29" ht="13.5" customHeight="1">
      <c r="A29" s="29" t="s">
        <v>156</v>
      </c>
      <c r="B29" s="29" t="s">
        <v>88</v>
      </c>
      <c r="C29" s="29" t="s">
        <v>157</v>
      </c>
      <c r="D29" s="29" t="s">
        <v>49</v>
      </c>
      <c r="E29" s="29" t="s">
        <v>158</v>
      </c>
      <c r="F29" s="29" t="s">
        <v>32</v>
      </c>
      <c r="G29" s="30">
        <v>1.0</v>
      </c>
      <c r="H29" s="30">
        <v>1.0</v>
      </c>
      <c r="I29" s="30">
        <v>3.1</v>
      </c>
      <c r="J29" s="31">
        <v>1.0</v>
      </c>
      <c r="K29" s="32">
        <v>0.6</v>
      </c>
      <c r="L29" s="33" t="s">
        <v>116</v>
      </c>
      <c r="M29" s="34" t="s">
        <v>57</v>
      </c>
      <c r="N29" s="34" t="s">
        <v>57</v>
      </c>
      <c r="O29" s="24"/>
      <c r="P29" s="25"/>
      <c r="Q29" s="25" t="s">
        <v>57</v>
      </c>
      <c r="R29" s="25"/>
      <c r="S29" s="16"/>
      <c r="T29" s="16"/>
      <c r="U29" s="16"/>
      <c r="V29" s="16"/>
      <c r="W29" s="16"/>
      <c r="X29" s="16"/>
      <c r="Y29" s="16"/>
      <c r="Z29" s="16"/>
    </row>
    <row r="30" ht="13.5" customHeight="1">
      <c r="A30" s="37" t="s">
        <v>159</v>
      </c>
      <c r="B30" s="37" t="s">
        <v>47</v>
      </c>
      <c r="C30" s="37" t="s">
        <v>160</v>
      </c>
      <c r="D30" s="37" t="s">
        <v>49</v>
      </c>
      <c r="E30" s="37" t="s">
        <v>161</v>
      </c>
      <c r="F30" s="37" t="s">
        <v>32</v>
      </c>
      <c r="G30" s="38">
        <v>1.0</v>
      </c>
      <c r="H30" s="38">
        <v>0.9</v>
      </c>
      <c r="I30" s="30">
        <v>1.7</v>
      </c>
      <c r="J30" s="31">
        <v>1.1</v>
      </c>
      <c r="K30" s="39">
        <v>0.7</v>
      </c>
      <c r="L30" s="40" t="s">
        <v>162</v>
      </c>
      <c r="M30" s="41" t="s">
        <v>57</v>
      </c>
      <c r="N30" s="41" t="s">
        <v>57</v>
      </c>
      <c r="O30" s="24"/>
      <c r="P30" s="25"/>
      <c r="Q30" s="25" t="s">
        <v>57</v>
      </c>
      <c r="R30" s="25"/>
      <c r="S30" s="16"/>
      <c r="T30" s="16"/>
      <c r="U30" s="16"/>
      <c r="V30" s="16"/>
      <c r="W30" s="16"/>
      <c r="X30" s="16"/>
      <c r="Y30" s="16"/>
      <c r="Z30" s="16"/>
    </row>
    <row r="31" ht="13.5" customHeight="1">
      <c r="A31" s="37" t="s">
        <v>163</v>
      </c>
      <c r="B31" s="37" t="s">
        <v>88</v>
      </c>
      <c r="C31" s="37" t="s">
        <v>164</v>
      </c>
      <c r="D31" s="37" t="s">
        <v>49</v>
      </c>
      <c r="E31" s="37" t="s">
        <v>165</v>
      </c>
      <c r="F31" s="37" t="s">
        <v>102</v>
      </c>
      <c r="G31" s="38">
        <v>1.0</v>
      </c>
      <c r="H31" s="38">
        <v>1.2</v>
      </c>
      <c r="I31" s="30">
        <v>2.7</v>
      </c>
      <c r="J31" s="31">
        <v>1.8</v>
      </c>
      <c r="K31" s="39">
        <v>1.1</v>
      </c>
      <c r="L31" s="42" t="s">
        <v>162</v>
      </c>
      <c r="M31" s="41" t="s">
        <v>57</v>
      </c>
      <c r="N31" s="41" t="s">
        <v>57</v>
      </c>
      <c r="O31" s="24"/>
      <c r="P31" s="25"/>
      <c r="Q31" s="25" t="s">
        <v>57</v>
      </c>
      <c r="R31" s="25"/>
      <c r="S31" s="16"/>
      <c r="T31" s="16"/>
      <c r="U31" s="16"/>
      <c r="V31" s="16"/>
      <c r="W31" s="16"/>
      <c r="X31" s="16"/>
      <c r="Y31" s="16"/>
      <c r="Z31" s="16"/>
    </row>
    <row r="32" ht="13.5" customHeight="1">
      <c r="A32" s="37" t="s">
        <v>166</v>
      </c>
      <c r="B32" s="37" t="s">
        <v>167</v>
      </c>
      <c r="C32" s="37" t="s">
        <v>168</v>
      </c>
      <c r="D32" s="37" t="s">
        <v>49</v>
      </c>
      <c r="E32" s="37" t="s">
        <v>169</v>
      </c>
      <c r="F32" s="37" t="s">
        <v>32</v>
      </c>
      <c r="G32" s="38">
        <v>1.0</v>
      </c>
      <c r="H32" s="38">
        <v>0.9</v>
      </c>
      <c r="I32" s="30">
        <v>1.7</v>
      </c>
      <c r="J32" s="31">
        <v>1.1</v>
      </c>
      <c r="K32" s="39">
        <v>0.7</v>
      </c>
      <c r="L32" s="42" t="s">
        <v>162</v>
      </c>
      <c r="M32" s="41" t="s">
        <v>57</v>
      </c>
      <c r="N32" s="41" t="s">
        <v>57</v>
      </c>
      <c r="O32" s="24"/>
      <c r="P32" s="25"/>
      <c r="Q32" s="25" t="s">
        <v>57</v>
      </c>
      <c r="R32" s="25"/>
      <c r="S32" s="16"/>
      <c r="T32" s="16"/>
      <c r="U32" s="16"/>
      <c r="V32" s="16"/>
      <c r="W32" s="16"/>
      <c r="X32" s="16"/>
      <c r="Y32" s="16"/>
      <c r="Z32" s="16"/>
    </row>
    <row r="33" ht="13.5" customHeight="1">
      <c r="A33" s="37" t="s">
        <v>170</v>
      </c>
      <c r="B33" s="37" t="s">
        <v>167</v>
      </c>
      <c r="C33" s="37" t="s">
        <v>171</v>
      </c>
      <c r="D33" s="37" t="s">
        <v>49</v>
      </c>
      <c r="E33" s="37" t="s">
        <v>172</v>
      </c>
      <c r="F33" s="37" t="s">
        <v>32</v>
      </c>
      <c r="G33" s="38">
        <v>1.0</v>
      </c>
      <c r="H33" s="38">
        <v>0.9</v>
      </c>
      <c r="I33" s="30">
        <v>1.5</v>
      </c>
      <c r="J33" s="31">
        <v>1.0</v>
      </c>
      <c r="K33" s="39">
        <v>0.6</v>
      </c>
      <c r="L33" s="42" t="s">
        <v>162</v>
      </c>
      <c r="M33" s="41" t="s">
        <v>57</v>
      </c>
      <c r="N33" s="41" t="s">
        <v>57</v>
      </c>
      <c r="O33" s="24"/>
      <c r="P33" s="25"/>
      <c r="Q33" s="25" t="s">
        <v>57</v>
      </c>
      <c r="R33" s="25"/>
      <c r="S33" s="16"/>
      <c r="T33" s="16"/>
      <c r="U33" s="16"/>
      <c r="V33" s="16"/>
      <c r="W33" s="16"/>
      <c r="X33" s="16"/>
      <c r="Y33" s="16"/>
      <c r="Z33" s="16"/>
    </row>
    <row r="34" ht="13.5" customHeight="1">
      <c r="A34" s="37" t="s">
        <v>173</v>
      </c>
      <c r="B34" s="37" t="s">
        <v>167</v>
      </c>
      <c r="C34" s="37" t="s">
        <v>174</v>
      </c>
      <c r="D34" s="37" t="s">
        <v>49</v>
      </c>
      <c r="E34" s="37" t="s">
        <v>175</v>
      </c>
      <c r="F34" s="37" t="s">
        <v>102</v>
      </c>
      <c r="G34" s="38">
        <v>1.0</v>
      </c>
      <c r="H34" s="38">
        <v>1.2</v>
      </c>
      <c r="I34" s="30">
        <v>3.0</v>
      </c>
      <c r="J34" s="31">
        <v>2.1</v>
      </c>
      <c r="K34" s="39">
        <v>1.2</v>
      </c>
      <c r="L34" s="42" t="s">
        <v>162</v>
      </c>
      <c r="M34" s="41" t="s">
        <v>57</v>
      </c>
      <c r="N34" s="41" t="s">
        <v>57</v>
      </c>
      <c r="O34" s="24"/>
      <c r="P34" s="25"/>
      <c r="Q34" s="25" t="s">
        <v>57</v>
      </c>
      <c r="R34" s="25"/>
      <c r="S34" s="16"/>
      <c r="T34" s="16"/>
      <c r="U34" s="16"/>
      <c r="V34" s="16"/>
      <c r="W34" s="16"/>
      <c r="X34" s="16"/>
      <c r="Y34" s="16"/>
      <c r="Z34" s="16"/>
    </row>
    <row r="35" ht="13.5" customHeight="1">
      <c r="A35" s="37" t="s">
        <v>176</v>
      </c>
      <c r="B35" s="37" t="s">
        <v>167</v>
      </c>
      <c r="C35" s="37" t="s">
        <v>177</v>
      </c>
      <c r="D35" s="37" t="s">
        <v>49</v>
      </c>
      <c r="E35" s="37" t="s">
        <v>178</v>
      </c>
      <c r="F35" s="37" t="s">
        <v>102</v>
      </c>
      <c r="G35" s="38">
        <v>1.0</v>
      </c>
      <c r="H35" s="38">
        <v>1.1</v>
      </c>
      <c r="I35" s="30">
        <v>3.0</v>
      </c>
      <c r="J35" s="31">
        <v>2.1</v>
      </c>
      <c r="K35" s="39">
        <v>1.2</v>
      </c>
      <c r="L35" s="42" t="s">
        <v>162</v>
      </c>
      <c r="M35" s="41" t="s">
        <v>57</v>
      </c>
      <c r="N35" s="41" t="s">
        <v>57</v>
      </c>
      <c r="O35" s="24"/>
      <c r="P35" s="25"/>
      <c r="Q35" s="25" t="s">
        <v>57</v>
      </c>
      <c r="R35" s="25"/>
      <c r="S35" s="16"/>
      <c r="T35" s="16"/>
      <c r="U35" s="16"/>
      <c r="V35" s="16"/>
      <c r="W35" s="16"/>
      <c r="X35" s="16"/>
      <c r="Y35" s="16"/>
      <c r="Z35" s="16"/>
    </row>
    <row r="36" ht="13.5" customHeight="1">
      <c r="A36" s="37" t="s">
        <v>179</v>
      </c>
      <c r="B36" s="37" t="s">
        <v>107</v>
      </c>
      <c r="C36" s="37" t="s">
        <v>180</v>
      </c>
      <c r="D36" s="37" t="s">
        <v>49</v>
      </c>
      <c r="E36" s="37" t="s">
        <v>181</v>
      </c>
      <c r="F36" s="37" t="s">
        <v>32</v>
      </c>
      <c r="G36" s="38">
        <v>1.0</v>
      </c>
      <c r="H36" s="38">
        <v>0.9</v>
      </c>
      <c r="I36" s="30">
        <v>1.7</v>
      </c>
      <c r="J36" s="31">
        <v>1.1</v>
      </c>
      <c r="K36" s="39">
        <v>0.7</v>
      </c>
      <c r="L36" s="42" t="s">
        <v>162</v>
      </c>
      <c r="M36" s="41" t="s">
        <v>57</v>
      </c>
      <c r="N36" s="41" t="s">
        <v>57</v>
      </c>
      <c r="O36" s="24"/>
      <c r="P36" s="25"/>
      <c r="Q36" s="25" t="s">
        <v>57</v>
      </c>
      <c r="R36" s="25"/>
      <c r="S36" s="16"/>
      <c r="T36" s="16"/>
      <c r="U36" s="16"/>
      <c r="V36" s="16"/>
      <c r="W36" s="16"/>
      <c r="X36" s="16"/>
      <c r="Y36" s="16"/>
      <c r="Z36" s="16"/>
    </row>
    <row r="37" ht="13.5" customHeight="1">
      <c r="A37" s="37" t="s">
        <v>182</v>
      </c>
      <c r="B37" s="37" t="s">
        <v>183</v>
      </c>
      <c r="C37" s="37" t="s">
        <v>184</v>
      </c>
      <c r="D37" s="37" t="s">
        <v>49</v>
      </c>
      <c r="E37" s="37" t="s">
        <v>185</v>
      </c>
      <c r="F37" s="37" t="s">
        <v>102</v>
      </c>
      <c r="G37" s="38">
        <v>1.0</v>
      </c>
      <c r="H37" s="38">
        <v>1.1</v>
      </c>
      <c r="I37" s="30">
        <v>2.7</v>
      </c>
      <c r="J37" s="31">
        <v>1.8</v>
      </c>
      <c r="K37" s="39">
        <v>1.1</v>
      </c>
      <c r="L37" s="42" t="s">
        <v>162</v>
      </c>
      <c r="M37" s="41" t="s">
        <v>57</v>
      </c>
      <c r="N37" s="41" t="s">
        <v>57</v>
      </c>
      <c r="O37" s="24"/>
      <c r="P37" s="25"/>
      <c r="Q37" s="25" t="s">
        <v>57</v>
      </c>
      <c r="R37" s="25"/>
      <c r="S37" s="16"/>
      <c r="T37" s="16"/>
      <c r="U37" s="16"/>
      <c r="V37" s="16"/>
      <c r="W37" s="16"/>
      <c r="X37" s="16"/>
      <c r="Y37" s="16"/>
      <c r="Z37" s="16"/>
    </row>
    <row r="38" ht="13.5" customHeight="1">
      <c r="A38" s="37" t="s">
        <v>186</v>
      </c>
      <c r="B38" s="37" t="s">
        <v>183</v>
      </c>
      <c r="C38" s="37" t="s">
        <v>187</v>
      </c>
      <c r="D38" s="37" t="s">
        <v>49</v>
      </c>
      <c r="E38" s="37" t="s">
        <v>188</v>
      </c>
      <c r="F38" s="37" t="s">
        <v>32</v>
      </c>
      <c r="G38" s="38">
        <v>1.0</v>
      </c>
      <c r="H38" s="38">
        <v>0.9</v>
      </c>
      <c r="I38" s="30">
        <v>1.7</v>
      </c>
      <c r="J38" s="31">
        <v>1.1</v>
      </c>
      <c r="K38" s="39">
        <v>0.7</v>
      </c>
      <c r="L38" s="42" t="s">
        <v>162</v>
      </c>
      <c r="M38" s="41" t="s">
        <v>57</v>
      </c>
      <c r="N38" s="41" t="s">
        <v>57</v>
      </c>
      <c r="O38" s="24"/>
      <c r="P38" s="25"/>
      <c r="Q38" s="25" t="s">
        <v>57</v>
      </c>
      <c r="R38" s="25"/>
      <c r="S38" s="16"/>
      <c r="T38" s="16"/>
      <c r="U38" s="16"/>
      <c r="V38" s="16"/>
      <c r="W38" s="16"/>
      <c r="X38" s="16"/>
      <c r="Y38" s="16"/>
      <c r="Z38" s="16"/>
    </row>
    <row r="39" ht="13.5" customHeight="1">
      <c r="A39" s="37" t="s">
        <v>189</v>
      </c>
      <c r="B39" s="37" t="s">
        <v>183</v>
      </c>
      <c r="C39" s="37" t="s">
        <v>190</v>
      </c>
      <c r="D39" s="37" t="s">
        <v>49</v>
      </c>
      <c r="E39" s="37" t="s">
        <v>191</v>
      </c>
      <c r="F39" s="37" t="s">
        <v>102</v>
      </c>
      <c r="G39" s="38">
        <v>1.0</v>
      </c>
      <c r="H39" s="38">
        <v>1.1</v>
      </c>
      <c r="I39" s="30">
        <v>2.7</v>
      </c>
      <c r="J39" s="31">
        <v>1.8</v>
      </c>
      <c r="K39" s="39">
        <v>1.1</v>
      </c>
      <c r="L39" s="42" t="s">
        <v>162</v>
      </c>
      <c r="M39" s="41" t="s">
        <v>57</v>
      </c>
      <c r="N39" s="41" t="s">
        <v>57</v>
      </c>
      <c r="O39" s="24"/>
      <c r="P39" s="25"/>
      <c r="Q39" s="25" t="s">
        <v>57</v>
      </c>
      <c r="R39" s="25"/>
      <c r="S39" s="16"/>
      <c r="T39" s="16"/>
      <c r="U39" s="16"/>
      <c r="V39" s="16"/>
      <c r="W39" s="16"/>
      <c r="X39" s="16"/>
      <c r="Y39" s="16"/>
      <c r="Z39" s="16"/>
    </row>
    <row r="40" ht="13.5" customHeight="1">
      <c r="A40" s="37" t="s">
        <v>192</v>
      </c>
      <c r="B40" s="37" t="s">
        <v>193</v>
      </c>
      <c r="C40" s="37" t="s">
        <v>194</v>
      </c>
      <c r="D40" s="37" t="s">
        <v>49</v>
      </c>
      <c r="E40" s="37" t="s">
        <v>195</v>
      </c>
      <c r="F40" s="37" t="s">
        <v>32</v>
      </c>
      <c r="G40" s="38">
        <v>1.0</v>
      </c>
      <c r="H40" s="38">
        <v>0.9</v>
      </c>
      <c r="I40" s="30">
        <v>1.7</v>
      </c>
      <c r="J40" s="31">
        <v>1.1</v>
      </c>
      <c r="K40" s="39">
        <v>0.6</v>
      </c>
      <c r="L40" s="42" t="s">
        <v>162</v>
      </c>
      <c r="M40" s="41" t="s">
        <v>57</v>
      </c>
      <c r="N40" s="41" t="s">
        <v>57</v>
      </c>
      <c r="O40" s="24"/>
      <c r="P40" s="25"/>
      <c r="Q40" s="25" t="s">
        <v>57</v>
      </c>
      <c r="R40" s="25"/>
      <c r="S40" s="16"/>
      <c r="T40" s="16"/>
      <c r="U40" s="16"/>
      <c r="V40" s="16"/>
      <c r="W40" s="16"/>
      <c r="X40" s="16"/>
      <c r="Y40" s="16"/>
      <c r="Z40" s="16"/>
    </row>
    <row r="41" ht="13.5" customHeight="1">
      <c r="A41" s="37" t="s">
        <v>196</v>
      </c>
      <c r="B41" s="37" t="s">
        <v>183</v>
      </c>
      <c r="C41" s="37" t="s">
        <v>197</v>
      </c>
      <c r="D41" s="37" t="s">
        <v>49</v>
      </c>
      <c r="E41" s="37" t="s">
        <v>198</v>
      </c>
      <c r="F41" s="37" t="s">
        <v>32</v>
      </c>
      <c r="G41" s="38">
        <v>1.0</v>
      </c>
      <c r="H41" s="38">
        <v>0.9</v>
      </c>
      <c r="I41" s="30">
        <v>1.7</v>
      </c>
      <c r="J41" s="31">
        <v>1.1</v>
      </c>
      <c r="K41" s="39">
        <v>0.6</v>
      </c>
      <c r="L41" s="42" t="s">
        <v>162</v>
      </c>
      <c r="M41" s="41" t="s">
        <v>57</v>
      </c>
      <c r="N41" s="41" t="s">
        <v>57</v>
      </c>
      <c r="O41" s="24"/>
      <c r="P41" s="25"/>
      <c r="Q41" s="25" t="s">
        <v>57</v>
      </c>
      <c r="R41" s="25"/>
      <c r="S41" s="16"/>
      <c r="T41" s="16"/>
      <c r="U41" s="16"/>
      <c r="V41" s="16"/>
      <c r="W41" s="16"/>
      <c r="X41" s="16"/>
      <c r="Y41" s="16"/>
      <c r="Z41" s="16"/>
    </row>
    <row r="42" ht="13.5" customHeight="1">
      <c r="A42" s="37" t="s">
        <v>199</v>
      </c>
      <c r="B42" s="37" t="s">
        <v>200</v>
      </c>
      <c r="C42" s="37" t="s">
        <v>201</v>
      </c>
      <c r="D42" s="37" t="s">
        <v>49</v>
      </c>
      <c r="E42" s="37" t="s">
        <v>202</v>
      </c>
      <c r="F42" s="37" t="s">
        <v>102</v>
      </c>
      <c r="G42" s="38">
        <v>1.0</v>
      </c>
      <c r="H42" s="38">
        <v>1.1</v>
      </c>
      <c r="I42" s="30">
        <v>2.7</v>
      </c>
      <c r="J42" s="31">
        <v>1.8</v>
      </c>
      <c r="K42" s="39">
        <v>1.1</v>
      </c>
      <c r="L42" s="42" t="s">
        <v>162</v>
      </c>
      <c r="M42" s="41" t="s">
        <v>57</v>
      </c>
      <c r="N42" s="41" t="s">
        <v>57</v>
      </c>
      <c r="O42" s="24"/>
      <c r="P42" s="25"/>
      <c r="Q42" s="25" t="s">
        <v>57</v>
      </c>
      <c r="R42" s="25"/>
      <c r="S42" s="16"/>
      <c r="T42" s="16"/>
      <c r="U42" s="16"/>
      <c r="V42" s="16"/>
      <c r="W42" s="16"/>
      <c r="X42" s="16"/>
      <c r="Y42" s="16"/>
      <c r="Z42" s="16"/>
    </row>
    <row r="43" ht="13.5" customHeight="1">
      <c r="A43" s="37" t="s">
        <v>203</v>
      </c>
      <c r="B43" s="37" t="s">
        <v>88</v>
      </c>
      <c r="C43" s="37" t="s">
        <v>204</v>
      </c>
      <c r="D43" s="37" t="s">
        <v>49</v>
      </c>
      <c r="E43" s="37" t="s">
        <v>205</v>
      </c>
      <c r="F43" s="37" t="s">
        <v>32</v>
      </c>
      <c r="G43" s="38">
        <v>1.0</v>
      </c>
      <c r="H43" s="38">
        <v>0.9</v>
      </c>
      <c r="I43" s="30">
        <v>1.5</v>
      </c>
      <c r="J43" s="31">
        <v>1.0</v>
      </c>
      <c r="K43" s="39">
        <v>0.6</v>
      </c>
      <c r="L43" s="42" t="s">
        <v>162</v>
      </c>
      <c r="M43" s="41" t="s">
        <v>57</v>
      </c>
      <c r="N43" s="41" t="s">
        <v>57</v>
      </c>
      <c r="O43" s="24"/>
      <c r="P43" s="25"/>
      <c r="Q43" s="25" t="s">
        <v>57</v>
      </c>
      <c r="R43" s="25"/>
      <c r="S43" s="16"/>
      <c r="T43" s="16"/>
      <c r="U43" s="16"/>
      <c r="V43" s="16"/>
      <c r="W43" s="16"/>
      <c r="X43" s="16"/>
      <c r="Y43" s="16"/>
      <c r="Z43" s="16"/>
    </row>
    <row r="44" ht="13.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4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3.5" customHeight="1">
      <c r="A45" s="45" t="s">
        <v>206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3"/>
      <c r="N45" s="44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3.5" customHeight="1">
      <c r="A46" s="46" t="s">
        <v>52</v>
      </c>
      <c r="B46" s="46" t="s">
        <v>207</v>
      </c>
      <c r="C46" s="46" t="s">
        <v>208</v>
      </c>
      <c r="D46" s="46"/>
      <c r="E46" s="46"/>
      <c r="F46" s="46"/>
      <c r="G46" s="46"/>
      <c r="H46" s="46"/>
      <c r="I46" s="46"/>
      <c r="J46" s="46"/>
      <c r="K46" s="46"/>
      <c r="L46" s="46"/>
      <c r="M46" s="43"/>
      <c r="N46" s="44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3.5" customHeight="1">
      <c r="A47" s="46" t="s">
        <v>32</v>
      </c>
      <c r="B47" s="46" t="s">
        <v>209</v>
      </c>
      <c r="C47" s="46" t="s">
        <v>210</v>
      </c>
      <c r="D47" s="46"/>
      <c r="E47" s="46"/>
      <c r="F47" s="46"/>
      <c r="G47" s="47" t="s">
        <v>34</v>
      </c>
      <c r="H47" s="47" t="s">
        <v>211</v>
      </c>
      <c r="I47" s="47" t="s">
        <v>25</v>
      </c>
      <c r="J47" s="47" t="s">
        <v>27</v>
      </c>
      <c r="K47" s="47" t="s">
        <v>29</v>
      </c>
      <c r="L47" s="47" t="s">
        <v>30</v>
      </c>
      <c r="M47" s="47" t="s">
        <v>31</v>
      </c>
      <c r="N47" s="47" t="s">
        <v>212</v>
      </c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3.5" customHeight="1">
      <c r="A48" s="46" t="s">
        <v>102</v>
      </c>
      <c r="B48" s="46" t="s">
        <v>213</v>
      </c>
      <c r="C48" s="46" t="s">
        <v>214</v>
      </c>
      <c r="D48" s="46"/>
      <c r="E48" s="46"/>
      <c r="F48" s="46"/>
      <c r="G48" s="48" t="s">
        <v>56</v>
      </c>
      <c r="H48" s="49">
        <f t="shared" ref="H48:H50" si="1">COUNTIF($L$2:$L$43,G48)</f>
        <v>15</v>
      </c>
      <c r="I48" s="49">
        <f t="shared" ref="I48:I50" si="2">SUMIF($L$2:$L$43,$G48,$G$2:$G$43)</f>
        <v>15</v>
      </c>
      <c r="J48" s="49">
        <f t="shared" ref="J48:J50" si="3">SUMIF($L$2:$L$43,$G48,$H$2:$H$43)</f>
        <v>16</v>
      </c>
      <c r="K48" s="49">
        <f t="shared" ref="K48:K50" si="4">SUMIF($L$2:$L$43,$G48,$I$2:$I$43)</f>
        <v>46</v>
      </c>
      <c r="L48" s="49">
        <f t="shared" ref="L48:L50" si="5">SUMIF($L$2:$L$43,$G48,$J$2:$J$43)</f>
        <v>17</v>
      </c>
      <c r="M48" s="49">
        <f t="shared" ref="M48:M50" si="6">SUMIF($L$2:$L$43,$G48,$K$2:$K$43)</f>
        <v>7</v>
      </c>
      <c r="N48" s="49">
        <f t="shared" ref="N48:N50" si="7">SUM(I48:M48)</f>
        <v>101</v>
      </c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3.5" customHeight="1">
      <c r="A49" s="46" t="s">
        <v>215</v>
      </c>
      <c r="B49" s="46"/>
      <c r="C49" s="46"/>
      <c r="D49" s="46"/>
      <c r="E49" s="46"/>
      <c r="F49" s="46"/>
      <c r="G49" s="48" t="s">
        <v>116</v>
      </c>
      <c r="H49" s="49">
        <f t="shared" si="1"/>
        <v>13</v>
      </c>
      <c r="I49" s="49">
        <f t="shared" si="2"/>
        <v>13</v>
      </c>
      <c r="J49" s="49">
        <f t="shared" si="3"/>
        <v>13</v>
      </c>
      <c r="K49" s="49">
        <f t="shared" si="4"/>
        <v>48</v>
      </c>
      <c r="L49" s="49">
        <f t="shared" si="5"/>
        <v>16</v>
      </c>
      <c r="M49" s="49">
        <f t="shared" si="6"/>
        <v>10</v>
      </c>
      <c r="N49" s="49">
        <f t="shared" si="7"/>
        <v>100</v>
      </c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3.5" customHeight="1">
      <c r="A50" s="46" t="s">
        <v>216</v>
      </c>
      <c r="B50" s="46"/>
      <c r="C50" s="46"/>
      <c r="D50" s="46"/>
      <c r="E50" s="46"/>
      <c r="F50" s="46"/>
      <c r="G50" s="48" t="s">
        <v>162</v>
      </c>
      <c r="H50" s="49">
        <f t="shared" si="1"/>
        <v>14</v>
      </c>
      <c r="I50" s="49">
        <f t="shared" si="2"/>
        <v>14</v>
      </c>
      <c r="J50" s="49">
        <f t="shared" si="3"/>
        <v>14</v>
      </c>
      <c r="K50" s="49">
        <f t="shared" si="4"/>
        <v>30</v>
      </c>
      <c r="L50" s="49">
        <f t="shared" si="5"/>
        <v>20</v>
      </c>
      <c r="M50" s="49">
        <f t="shared" si="6"/>
        <v>12</v>
      </c>
      <c r="N50" s="49">
        <f t="shared" si="7"/>
        <v>90</v>
      </c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3.5" customHeight="1">
      <c r="A51" s="46" t="s">
        <v>217</v>
      </c>
      <c r="B51" s="46"/>
      <c r="C51" s="46"/>
      <c r="D51" s="46"/>
      <c r="E51" s="46"/>
      <c r="F51" s="46"/>
      <c r="G51" s="50" t="s">
        <v>218</v>
      </c>
      <c r="H51" s="51">
        <f t="shared" ref="H51:N51" si="8">SUM(H48:H50)</f>
        <v>42</v>
      </c>
      <c r="I51" s="51">
        <f t="shared" si="8"/>
        <v>42</v>
      </c>
      <c r="J51" s="51">
        <f t="shared" si="8"/>
        <v>43</v>
      </c>
      <c r="K51" s="51">
        <f t="shared" si="8"/>
        <v>124</v>
      </c>
      <c r="L51" s="51">
        <f t="shared" si="8"/>
        <v>53</v>
      </c>
      <c r="M51" s="51">
        <f t="shared" si="8"/>
        <v>29</v>
      </c>
      <c r="N51" s="51">
        <f t="shared" si="8"/>
        <v>291</v>
      </c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3.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7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3.5" customHeight="1">
      <c r="A53" s="52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7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3.5" customHeight="1">
      <c r="A54" s="52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7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3.5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7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3.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7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3.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7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3.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7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3.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7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3.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7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3.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7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3.5" customHeight="1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7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3.5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7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3.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7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3.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7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3.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7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3.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7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3.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7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3.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7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3.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7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3.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7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3.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7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3.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7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3.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7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3.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7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3.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7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3.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7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3.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7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3.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7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3.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7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3.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7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3.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7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3.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7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3.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7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3.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7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3.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7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3.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7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3.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7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3.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7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3.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7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3.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7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3.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7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3.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7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3.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7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3.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7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3.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7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3.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7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3.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7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3.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7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3.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7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3.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7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3.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7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3.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7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3.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7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3.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7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3.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7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3.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7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3.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7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3.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7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3.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7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3.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7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3.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7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3.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7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3.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7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3.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7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3.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7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3.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7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3.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7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3.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7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3.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7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3.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7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3.5" customHeight="1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7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3.5" customHeight="1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7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3.5" customHeight="1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7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3.5" customHeight="1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7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3.5" customHeight="1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7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3.5" customHeight="1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7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3.5" customHeight="1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7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3.5" customHeight="1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7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3.5" customHeight="1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7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3.5" customHeight="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7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3.5" customHeight="1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7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3.5" customHeight="1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7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3.5" customHeight="1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7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3.5" customHeight="1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7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3.5" customHeight="1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7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3.5" customHeight="1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7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3.5" customHeight="1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7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3.5" customHeight="1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7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3.5" customHeight="1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7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3.5" customHeight="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7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3.5" customHeight="1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7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3.5" customHeight="1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7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3.5" customHeight="1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7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3.5" customHeight="1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7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3.5" customHeight="1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7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3.5" customHeight="1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7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3.5" customHeight="1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7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3.5" customHeight="1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7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3.5" customHeight="1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7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3.5" customHeight="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7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3.5" customHeight="1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7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3.5" customHeight="1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7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3.5" customHeight="1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7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3.5" customHeight="1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7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3.5" customHeight="1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7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3.5" customHeight="1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7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3.5" customHeight="1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7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3.5" customHeight="1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7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3.5" customHeight="1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7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3.5" customHeight="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7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3.5" customHeight="1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7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3.5" customHeight="1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7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3.5" customHeight="1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7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3.5" customHeight="1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7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3.5" customHeight="1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7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3.5" customHeight="1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7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3.5" customHeight="1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7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3.5" customHeight="1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7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3.5" customHeight="1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7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3.5" customHeight="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7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3.5" customHeight="1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7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3.5" customHeight="1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7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3.5" customHeight="1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7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3.5" customHeight="1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7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3.5" customHeight="1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7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3.5" customHeight="1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7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3.5" customHeight="1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7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3.5" customHeight="1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7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3.5" customHeight="1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7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3.5" customHeight="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7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3.5" customHeight="1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7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3.5" customHeight="1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7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3.5" customHeight="1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7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3.5" customHeight="1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7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3.5" customHeight="1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7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3.5" customHeight="1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7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3.5" customHeight="1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7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3.5" customHeight="1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7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3.5" customHeight="1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7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3.5" customHeight="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7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3.5" customHeight="1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7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3.5" customHeight="1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7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3.5" customHeight="1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7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3.5" customHeight="1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7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3.5" customHeight="1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7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3.5" customHeight="1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7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3.5" customHeight="1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7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3.5" customHeight="1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7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3.5" customHeight="1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7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3.5" customHeight="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7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3.5" customHeight="1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7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3.5" customHeight="1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7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3.5" customHeight="1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7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3.5" customHeight="1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7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3.5" customHeight="1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7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3.5" customHeight="1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7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3.5" customHeight="1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7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3.5" customHeight="1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7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3.5" customHeight="1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7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3.5" customHeight="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7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3.5" customHeight="1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7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3.5" customHeight="1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7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3.5" customHeight="1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7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3.5" customHeight="1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7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3.5" customHeight="1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7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3.5" customHeight="1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7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3.5" customHeight="1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7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3.5" customHeight="1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7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3.5" customHeight="1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7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3.5" customHeight="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7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5.75" customHeight="1">
      <c r="A222" s="7"/>
      <c r="B222" s="14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5.75" customHeight="1">
      <c r="A223" s="7"/>
      <c r="B223" s="14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5.75" customHeight="1">
      <c r="A224" s="7"/>
      <c r="B224" s="14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5.75" customHeight="1">
      <c r="A225" s="7"/>
      <c r="B225" s="14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5.75" customHeight="1">
      <c r="A226" s="7"/>
      <c r="B226" s="14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5.75" customHeight="1">
      <c r="A227" s="7"/>
      <c r="B227" s="14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5.75" customHeight="1">
      <c r="A228" s="7"/>
      <c r="B228" s="14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5.75" customHeight="1">
      <c r="A229" s="7"/>
      <c r="B229" s="14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5.75" customHeight="1">
      <c r="A230" s="7"/>
      <c r="B230" s="14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5.75" customHeight="1">
      <c r="A231" s="7"/>
      <c r="B231" s="14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5.75" customHeight="1">
      <c r="A232" s="7"/>
      <c r="B232" s="14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5.75" customHeight="1">
      <c r="A233" s="7"/>
      <c r="B233" s="14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5.75" customHeight="1">
      <c r="A234" s="7"/>
      <c r="B234" s="14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5.75" customHeight="1">
      <c r="A235" s="7"/>
      <c r="B235" s="14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5.75" customHeight="1">
      <c r="A236" s="7"/>
      <c r="B236" s="14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5.75" customHeight="1">
      <c r="A237" s="7"/>
      <c r="B237" s="14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5.75" customHeight="1">
      <c r="A238" s="7"/>
      <c r="B238" s="14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5.75" customHeight="1">
      <c r="A239" s="7"/>
      <c r="B239" s="14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5.75" customHeight="1">
      <c r="A240" s="7"/>
      <c r="B240" s="14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5.75" customHeight="1">
      <c r="A241" s="7"/>
      <c r="B241" s="14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5.75" customHeight="1">
      <c r="A242" s="7"/>
      <c r="B242" s="14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5.75" customHeight="1">
      <c r="A243" s="7"/>
      <c r="B243" s="14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5.75" customHeight="1">
      <c r="A244" s="7"/>
      <c r="B244" s="14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5.75" customHeight="1">
      <c r="A245" s="7"/>
      <c r="B245" s="14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5.75" customHeight="1">
      <c r="A246" s="7"/>
      <c r="B246" s="14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5.75" customHeight="1">
      <c r="A247" s="7"/>
      <c r="B247" s="14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5.75" customHeight="1">
      <c r="A248" s="7"/>
      <c r="B248" s="14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5.75" customHeight="1">
      <c r="A249" s="7"/>
      <c r="B249" s="14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5.75" customHeight="1">
      <c r="A250" s="7"/>
      <c r="B250" s="14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5.75" customHeight="1">
      <c r="A251" s="7"/>
      <c r="B251" s="14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2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2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2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2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2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12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2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12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2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12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2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12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2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2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2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2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2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2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2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12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12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12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12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12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12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12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12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12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12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12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12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12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12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12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12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ht="12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ht="12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ht="12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ht="12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ht="12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ht="12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ht="12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ht="12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ht="12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ht="12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ht="12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ht="12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ht="12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ht="12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ht="12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ht="12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ht="12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ht="12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ht="12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ht="12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ht="12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ht="12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ht="12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ht="12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ht="12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ht="12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ht="12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ht="12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ht="12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ht="12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ht="12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ht="12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ht="12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ht="12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ht="12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ht="12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ht="12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ht="12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ht="12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ht="12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ht="12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ht="12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ht="12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ht="12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ht="12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ht="12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ht="12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ht="12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ht="12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ht="12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ht="12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ht="12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ht="12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ht="12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ht="12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ht="12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ht="12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ht="12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ht="12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ht="12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ht="12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ht="12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ht="12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ht="12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ht="12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ht="12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ht="12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ht="12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ht="12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ht="12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ht="12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ht="12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ht="12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ht="12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ht="12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ht="12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ht="12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ht="12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ht="12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ht="12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ht="12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ht="12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ht="12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ht="12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ht="12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12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ht="12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12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ht="12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12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ht="12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12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ht="12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12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12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12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12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12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12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12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12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12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12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12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12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12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12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12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12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12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12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12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12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12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12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12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12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12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12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12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12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12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12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12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12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12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12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12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12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12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ht="12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12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ht="12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12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ht="12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12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ht="12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12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ht="12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12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ht="12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12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ht="12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12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ht="12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12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ht="12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12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ht="12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12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ht="12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12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ht="12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12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ht="12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12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ht="12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12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ht="12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12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ht="12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12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ht="12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12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ht="12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12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ht="12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12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ht="12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12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ht="12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12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ht="12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12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ht="12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12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ht="12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12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ht="12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12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ht="12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12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ht="12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12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ht="12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12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ht="12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12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ht="12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12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ht="12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12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ht="12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12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ht="12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12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ht="12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12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ht="12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12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ht="12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12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ht="12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12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ht="12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12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ht="12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12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12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12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ht="12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12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ht="12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12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ht="12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12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ht="12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12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ht="12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12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ht="12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12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ht="12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12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ht="12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12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ht="12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12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ht="12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12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ht="12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12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ht="12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12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ht="12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12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ht="12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12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ht="12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12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ht="12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12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ht="12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12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ht="12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12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ht="12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12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ht="12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12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ht="12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12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ht="12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12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ht="12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ht="12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ht="12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ht="12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ht="12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ht="12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ht="12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ht="12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ht="12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ht="12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ht="12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ht="12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ht="12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ht="12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ht="12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ht="12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ht="12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ht="12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ht="12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ht="12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ht="12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ht="12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ht="12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ht="12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ht="12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ht="12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ht="12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ht="12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ht="12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ht="12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ht="12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ht="12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ht="12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ht="12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ht="12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ht="12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ht="12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ht="12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ht="12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ht="12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ht="12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ht="12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ht="12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ht="12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ht="12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ht="12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ht="12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ht="12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ht="12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ht="12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ht="12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ht="12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ht="12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ht="12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ht="12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ht="12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ht="12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ht="12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ht="12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ht="12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ht="12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ht="12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ht="12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ht="12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ht="12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ht="12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ht="12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ht="12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ht="12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ht="12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ht="12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ht="12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ht="12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ht="12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ht="12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ht="12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ht="12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ht="12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ht="12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ht="12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ht="12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ht="12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ht="12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ht="12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ht="12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ht="12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ht="12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ht="12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ht="12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ht="12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ht="12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ht="12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ht="12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ht="12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ht="12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ht="12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ht="12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ht="12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ht="12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ht="12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ht="12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ht="12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ht="12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ht="12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ht="12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ht="12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ht="12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ht="12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ht="12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ht="12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ht="12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ht="12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ht="12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ht="12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ht="12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ht="12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ht="12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ht="12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ht="12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ht="12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ht="12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ht="12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ht="12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ht="12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ht="12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ht="12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ht="12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ht="12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ht="12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ht="12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ht="12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ht="12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ht="12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ht="12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ht="12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ht="12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ht="12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ht="12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ht="12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ht="12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ht="12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ht="12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ht="12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ht="12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ht="12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ht="12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ht="12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ht="12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ht="12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ht="12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ht="12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ht="12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ht="12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ht="12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ht="12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ht="12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ht="12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ht="12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ht="12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ht="12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ht="12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ht="12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ht="12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ht="12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ht="12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ht="12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ht="12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ht="12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ht="12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ht="12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ht="12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ht="12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ht="12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ht="12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ht="12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ht="12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ht="12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ht="12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ht="12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ht="12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ht="12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ht="12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ht="12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ht="12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ht="12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ht="12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ht="12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ht="12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ht="12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ht="12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ht="12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ht="12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ht="12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ht="12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ht="12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ht="12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ht="12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ht="12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ht="12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ht="12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ht="12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ht="12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ht="12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ht="12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ht="12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ht="12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ht="12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ht="12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ht="12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ht="12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ht="12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ht="12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ht="12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ht="12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ht="12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ht="12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ht="12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ht="12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ht="12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ht="12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ht="12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ht="12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ht="12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ht="12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ht="12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ht="12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ht="12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ht="12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ht="12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ht="12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ht="12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ht="12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ht="12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ht="12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ht="12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ht="12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ht="12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ht="12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ht="12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ht="12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ht="12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ht="12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ht="12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ht="12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ht="12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ht="12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ht="12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ht="12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ht="12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ht="12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ht="12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ht="12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ht="12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ht="12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ht="12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ht="12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ht="12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ht="12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ht="12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ht="12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ht="12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ht="12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ht="12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ht="12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ht="12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ht="12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ht="12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ht="12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ht="12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ht="12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ht="12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ht="12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ht="12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ht="12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ht="12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ht="12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ht="12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ht="12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ht="12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ht="12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ht="12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ht="12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ht="12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ht="12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ht="12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ht="12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ht="12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ht="12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ht="12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ht="12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ht="12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ht="12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ht="12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ht="12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ht="12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ht="12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ht="12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ht="12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ht="12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ht="12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ht="12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ht="12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ht="12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ht="12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ht="12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ht="12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ht="12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ht="12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ht="12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ht="12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ht="12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ht="12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ht="12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ht="12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ht="12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ht="12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ht="12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ht="12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ht="12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ht="12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ht="12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ht="12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ht="12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ht="12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ht="12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ht="12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ht="12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ht="12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ht="12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ht="12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ht="12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ht="12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ht="12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ht="12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ht="12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ht="12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ht="12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ht="12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ht="12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ht="12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ht="12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ht="12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ht="12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ht="12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ht="12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ht="12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ht="12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ht="12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ht="12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ht="12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ht="12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ht="12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ht="12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ht="12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ht="12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ht="12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ht="12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ht="12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ht="12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ht="12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ht="12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ht="12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ht="12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ht="12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ht="12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ht="12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ht="12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ht="12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ht="12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ht="12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ht="12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ht="12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ht="12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ht="12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ht="12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ht="12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ht="12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ht="12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ht="12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ht="12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ht="12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ht="12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ht="12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ht="12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ht="12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ht="12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ht="12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ht="12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ht="12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ht="12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ht="12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ht="12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ht="12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ht="12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ht="12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ht="12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ht="12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ht="12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ht="12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ht="12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ht="12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ht="12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ht="12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ht="12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ht="12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ht="12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ht="12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ht="12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ht="12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ht="12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ht="12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ht="12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ht="12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ht="12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ht="12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ht="12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ht="12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ht="12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ht="12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ht="12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ht="12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ht="12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ht="12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ht="12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ht="12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ht="12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ht="12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ht="12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ht="12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ht="12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ht="12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ht="12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ht="12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ht="12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ht="12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ht="12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ht="12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ht="12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ht="12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ht="12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ht="12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ht="12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ht="12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ht="12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ht="12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ht="12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ht="12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ht="12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ht="12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ht="12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ht="12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ht="12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ht="12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ht="12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ht="12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ht="12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ht="12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ht="12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ht="12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ht="12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dataValidations>
    <dataValidation type="list" allowBlank="1" showErrorMessage="1" sqref="D2:D11 D20:D22">
      <formula1>"Screen,Background Job,External API"</formula1>
    </dataValidation>
    <dataValidation type="list" allowBlank="1" showErrorMessage="1" sqref="F2:F11 F20:F22">
      <formula1>"Simple,Medium,Complex"</formula1>
    </dataValidation>
    <dataValidation type="list" allowBlank="1" showErrorMessage="1" sqref="I2:I43">
      <formula1>"Pending,Planned,Analyzed,Coded,Integrated,Tested,Cancelled"</formula1>
    </dataValidation>
    <dataValidation type="list" allowBlank="1" showErrorMessage="1" sqref="J2:K11 M2:M17 J12:J19 J20:K22 J23:J43 M18:N43">
      <formula1>"To Do,Doing,Done,Cancelled"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75"/>
    <col customWidth="1" min="2" max="2" width="50.0"/>
    <col customWidth="1" min="3" max="3" width="8.75"/>
    <col customWidth="1" min="4" max="5" width="9.63"/>
    <col customWidth="1" min="6" max="6" width="8.75"/>
    <col customWidth="1" min="7" max="7" width="55.13"/>
    <col customWidth="1" min="8" max="26" width="8.75"/>
  </cols>
  <sheetData>
    <row r="1" ht="12.75" customHeight="1">
      <c r="A1" s="2" t="s">
        <v>0</v>
      </c>
      <c r="B1" s="2" t="s">
        <v>8</v>
      </c>
      <c r="C1" s="2" t="s">
        <v>11</v>
      </c>
      <c r="D1" s="2" t="s">
        <v>13</v>
      </c>
      <c r="E1" s="2" t="s">
        <v>14</v>
      </c>
      <c r="F1" s="2" t="s">
        <v>9</v>
      </c>
      <c r="G1" s="2" t="s">
        <v>15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2.75" customHeight="1">
      <c r="A2" s="8">
        <v>45185.0</v>
      </c>
      <c r="B2" s="10"/>
      <c r="C2" s="10" t="s">
        <v>26</v>
      </c>
      <c r="D2" s="10" t="s">
        <v>32</v>
      </c>
      <c r="E2" s="10"/>
      <c r="F2" s="10" t="s">
        <v>36</v>
      </c>
      <c r="G2" s="10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2.75" customHeight="1">
      <c r="A3" s="15"/>
      <c r="B3" s="10"/>
      <c r="C3" s="10"/>
      <c r="D3" s="10" t="s">
        <v>32</v>
      </c>
      <c r="E3" s="10"/>
      <c r="F3" s="10" t="s">
        <v>36</v>
      </c>
      <c r="G3" s="10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2.75" customHeight="1">
      <c r="A4" s="15"/>
      <c r="B4" s="10"/>
      <c r="C4" s="10"/>
      <c r="D4" s="10" t="s">
        <v>32</v>
      </c>
      <c r="E4" s="10"/>
      <c r="F4" s="10" t="s">
        <v>36</v>
      </c>
      <c r="G4" s="10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2.75" customHeight="1">
      <c r="A5" s="15"/>
      <c r="B5" s="10"/>
      <c r="C5" s="10"/>
      <c r="D5" s="10" t="s">
        <v>32</v>
      </c>
      <c r="E5" s="10"/>
      <c r="F5" s="10" t="s">
        <v>36</v>
      </c>
      <c r="G5" s="10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2.75" customHeight="1">
      <c r="A6" s="15"/>
      <c r="B6" s="10"/>
      <c r="C6" s="10"/>
      <c r="D6" s="10" t="s">
        <v>32</v>
      </c>
      <c r="E6" s="10"/>
      <c r="F6" s="10" t="s">
        <v>36</v>
      </c>
      <c r="G6" s="10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2.75" customHeight="1">
      <c r="A7" s="15"/>
      <c r="B7" s="10"/>
      <c r="C7" s="10"/>
      <c r="D7" s="10" t="s">
        <v>32</v>
      </c>
      <c r="E7" s="10"/>
      <c r="F7" s="10" t="s">
        <v>36</v>
      </c>
      <c r="G7" s="10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2.75" customHeight="1">
      <c r="A8" s="15"/>
      <c r="B8" s="10"/>
      <c r="C8" s="10"/>
      <c r="D8" s="10" t="s">
        <v>32</v>
      </c>
      <c r="E8" s="10"/>
      <c r="F8" s="10" t="s">
        <v>36</v>
      </c>
      <c r="G8" s="10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2.75" customHeight="1">
      <c r="A9" s="15"/>
      <c r="B9" s="10"/>
      <c r="C9" s="10"/>
      <c r="D9" s="10" t="s">
        <v>32</v>
      </c>
      <c r="E9" s="10"/>
      <c r="F9" s="10" t="s">
        <v>36</v>
      </c>
      <c r="G9" s="10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2.75" customHeight="1">
      <c r="A10" s="15"/>
      <c r="B10" s="10"/>
      <c r="C10" s="10"/>
      <c r="D10" s="10" t="s">
        <v>32</v>
      </c>
      <c r="E10" s="10"/>
      <c r="F10" s="10" t="s">
        <v>36</v>
      </c>
      <c r="G10" s="10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2.75" customHeight="1">
      <c r="A11" s="15"/>
      <c r="B11" s="10"/>
      <c r="C11" s="10"/>
      <c r="D11" s="10" t="s">
        <v>32</v>
      </c>
      <c r="E11" s="10"/>
      <c r="F11" s="10" t="s">
        <v>36</v>
      </c>
      <c r="G11" s="10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2.75" customHeight="1">
      <c r="A12" s="15"/>
      <c r="B12" s="10"/>
      <c r="C12" s="10"/>
      <c r="D12" s="10" t="s">
        <v>32</v>
      </c>
      <c r="E12" s="10"/>
      <c r="F12" s="10" t="s">
        <v>36</v>
      </c>
      <c r="G12" s="10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2.75" customHeight="1">
      <c r="A13" s="15"/>
      <c r="B13" s="10"/>
      <c r="C13" s="10"/>
      <c r="D13" s="10" t="s">
        <v>32</v>
      </c>
      <c r="E13" s="10"/>
      <c r="F13" s="10" t="s">
        <v>36</v>
      </c>
      <c r="G13" s="10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2.75" customHeight="1">
      <c r="A14" s="15"/>
      <c r="B14" s="10"/>
      <c r="C14" s="10"/>
      <c r="D14" s="10" t="s">
        <v>32</v>
      </c>
      <c r="E14" s="10"/>
      <c r="F14" s="10" t="s">
        <v>36</v>
      </c>
      <c r="G14" s="10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2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2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2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2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2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2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2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2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2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2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2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2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2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2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2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2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2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2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2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list" allowBlank="1" showErrorMessage="1" sqref="F2:F14">
      <formula1>"Open,Closed,Cancelled"</formula1>
    </dataValidation>
    <dataValidation type="list" allowBlank="1" showErrorMessage="1" sqref="D2:D14">
      <formula1>"Low,Medium,High"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5"/>
    <col customWidth="1" min="2" max="2" width="42.63"/>
    <col customWidth="1" min="3" max="4" width="11.0"/>
    <col customWidth="1" min="5" max="5" width="10.63"/>
    <col customWidth="1" min="6" max="6" width="12.5"/>
    <col customWidth="1" min="7" max="7" width="8.75"/>
    <col customWidth="1" min="8" max="8" width="48.88"/>
    <col customWidth="1" min="9" max="26" width="14.5"/>
  </cols>
  <sheetData>
    <row r="1" ht="15.75" customHeight="1">
      <c r="A1" s="1" t="s">
        <v>0</v>
      </c>
      <c r="B1" s="1" t="s">
        <v>16</v>
      </c>
      <c r="C1" s="1" t="s">
        <v>13</v>
      </c>
      <c r="D1" s="1" t="s">
        <v>17</v>
      </c>
      <c r="E1" s="1" t="s">
        <v>18</v>
      </c>
      <c r="F1" s="1" t="s">
        <v>14</v>
      </c>
      <c r="G1" s="1" t="s">
        <v>9</v>
      </c>
      <c r="H1" s="1" t="s">
        <v>12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75" customHeight="1">
      <c r="A2" s="11">
        <v>45578.0</v>
      </c>
      <c r="B2" s="13"/>
      <c r="C2" s="17" t="s">
        <v>32</v>
      </c>
      <c r="D2" s="17" t="s">
        <v>26</v>
      </c>
      <c r="E2" s="17" t="s">
        <v>45</v>
      </c>
      <c r="F2" s="17"/>
      <c r="G2" s="17" t="s">
        <v>36</v>
      </c>
      <c r="H2" s="17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15.75" customHeight="1">
      <c r="A3" s="17"/>
      <c r="B3" s="13"/>
      <c r="C3" s="17" t="s">
        <v>32</v>
      </c>
      <c r="D3" s="17"/>
      <c r="E3" s="17" t="s">
        <v>45</v>
      </c>
      <c r="F3" s="17"/>
      <c r="G3" s="17" t="s">
        <v>36</v>
      </c>
      <c r="H3" s="17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15.75" customHeight="1">
      <c r="A4" s="17"/>
      <c r="B4" s="13"/>
      <c r="C4" s="17" t="s">
        <v>32</v>
      </c>
      <c r="D4" s="17"/>
      <c r="E4" s="17" t="s">
        <v>51</v>
      </c>
      <c r="F4" s="17"/>
      <c r="G4" s="17" t="s">
        <v>36</v>
      </c>
      <c r="H4" s="17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15.75" customHeight="1">
      <c r="A5" s="17"/>
      <c r="B5" s="13"/>
      <c r="C5" s="17" t="s">
        <v>32</v>
      </c>
      <c r="D5" s="17"/>
      <c r="E5" s="17" t="s">
        <v>51</v>
      </c>
      <c r="F5" s="17"/>
      <c r="G5" s="17" t="s">
        <v>36</v>
      </c>
      <c r="H5" s="17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5.75" customHeight="1">
      <c r="A6" s="17"/>
      <c r="B6" s="13"/>
      <c r="C6" s="17" t="s">
        <v>32</v>
      </c>
      <c r="D6" s="17"/>
      <c r="E6" s="17" t="s">
        <v>51</v>
      </c>
      <c r="F6" s="17"/>
      <c r="G6" s="17" t="s">
        <v>36</v>
      </c>
      <c r="H6" s="17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5.75" customHeight="1">
      <c r="A7" s="17"/>
      <c r="B7" s="13"/>
      <c r="C7" s="17" t="s">
        <v>32</v>
      </c>
      <c r="D7" s="17"/>
      <c r="E7" s="17" t="s">
        <v>54</v>
      </c>
      <c r="F7" s="17"/>
      <c r="G7" s="17" t="s">
        <v>36</v>
      </c>
      <c r="H7" s="17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5.75" customHeight="1">
      <c r="A8" s="17"/>
      <c r="B8" s="13"/>
      <c r="C8" s="17" t="s">
        <v>32</v>
      </c>
      <c r="D8" s="17"/>
      <c r="E8" s="17" t="s">
        <v>55</v>
      </c>
      <c r="F8" s="17"/>
      <c r="G8" s="17" t="s">
        <v>36</v>
      </c>
      <c r="H8" s="17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5.75" customHeight="1">
      <c r="A9" s="19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5.75" customHeight="1">
      <c r="A10" s="19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5.75" customHeight="1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5.75" customHeight="1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5.75" customHeight="1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5.75" customHeight="1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5.75" customHeight="1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5.75" customHeight="1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5.75" customHeight="1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5.75" customHeight="1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5.75" customHeight="1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5.75" customHeight="1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5.75" customHeight="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5.75" customHeight="1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5.75" customHeight="1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5.75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5.75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5.75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5.75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5.7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5.75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5.75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5.75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5.7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5.75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5.7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5.7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5.75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5.7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5.7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5.7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5.7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5.7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5.7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5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5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5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5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5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5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5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5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5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5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5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5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5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5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5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5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5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5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5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5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5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5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5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5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5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5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5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5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5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5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5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5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5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5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5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5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5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5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5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5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5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5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5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5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5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5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5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5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5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5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5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5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5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5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5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5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5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5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5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5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5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5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5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5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5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5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5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5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5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5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5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5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5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5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5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5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5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5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5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5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5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5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5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list" allowBlank="1" showErrorMessage="1" sqref="G2:G8">
      <formula1>"Open,Closed,Cancelled"</formula1>
    </dataValidation>
    <dataValidation type="list" allowBlank="1" showErrorMessage="1" sqref="C2:C8">
      <formula1>"Low,Medium,High"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75"/>
    <col customWidth="1" min="2" max="2" width="52.5"/>
    <col customWidth="1" min="3" max="3" width="10.5"/>
    <col customWidth="1" min="4" max="4" width="15.63"/>
    <col customWidth="1" min="5" max="5" width="20.5"/>
    <col customWidth="1" min="6" max="6" width="10.13"/>
    <col customWidth="1" min="7" max="7" width="10.25"/>
    <col customWidth="1" min="8" max="9" width="9.38"/>
    <col customWidth="1" min="10" max="10" width="46.38"/>
  </cols>
  <sheetData>
    <row r="1" ht="15.7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9</v>
      </c>
      <c r="I1" s="1" t="s">
        <v>10</v>
      </c>
      <c r="J1" s="1" t="s">
        <v>12</v>
      </c>
    </row>
    <row r="2" ht="15.75" customHeight="1">
      <c r="A2" s="3">
        <v>45578.0</v>
      </c>
      <c r="B2" s="5"/>
      <c r="C2" s="5" t="s">
        <v>24</v>
      </c>
      <c r="D2" s="5" t="s">
        <v>28</v>
      </c>
      <c r="E2" s="5"/>
      <c r="F2" s="5"/>
      <c r="G2" s="5"/>
      <c r="H2" s="5" t="s">
        <v>33</v>
      </c>
      <c r="I2" s="3">
        <v>45591.0</v>
      </c>
      <c r="J2" s="5"/>
    </row>
    <row r="3" ht="15.75" customHeight="1">
      <c r="A3" s="5"/>
      <c r="B3" s="5"/>
      <c r="C3" s="5" t="s">
        <v>24</v>
      </c>
      <c r="D3" s="5" t="s">
        <v>35</v>
      </c>
      <c r="E3" s="5"/>
      <c r="F3" s="5"/>
      <c r="G3" s="5"/>
      <c r="H3" s="5" t="s">
        <v>33</v>
      </c>
      <c r="I3" s="5"/>
      <c r="J3" s="5"/>
    </row>
    <row r="4" ht="15.75" customHeight="1">
      <c r="A4" s="5"/>
      <c r="B4" s="5"/>
      <c r="C4" s="5" t="s">
        <v>24</v>
      </c>
      <c r="D4" s="5" t="s">
        <v>38</v>
      </c>
      <c r="E4" s="5"/>
      <c r="F4" s="5"/>
      <c r="G4" s="5"/>
      <c r="H4" s="5" t="s">
        <v>33</v>
      </c>
      <c r="I4" s="5"/>
      <c r="J4" s="5"/>
    </row>
    <row r="5" ht="15.75" customHeight="1">
      <c r="A5" s="5"/>
      <c r="B5" s="5"/>
      <c r="C5" s="5" t="s">
        <v>24</v>
      </c>
      <c r="D5" s="5" t="s">
        <v>38</v>
      </c>
      <c r="E5" s="5"/>
      <c r="F5" s="5"/>
      <c r="G5" s="5"/>
      <c r="H5" s="5" t="s">
        <v>33</v>
      </c>
      <c r="I5" s="5"/>
      <c r="J5" s="5"/>
    </row>
    <row r="6" ht="15.75" customHeight="1">
      <c r="A6" s="5"/>
      <c r="B6" s="5"/>
      <c r="C6" s="5" t="s">
        <v>24</v>
      </c>
      <c r="D6" s="5" t="s">
        <v>41</v>
      </c>
      <c r="E6" s="5"/>
      <c r="F6" s="5"/>
      <c r="G6" s="5"/>
      <c r="H6" s="5" t="s">
        <v>33</v>
      </c>
      <c r="I6" s="5"/>
      <c r="J6" s="5"/>
    </row>
    <row r="7" ht="15.75" customHeight="1">
      <c r="A7" s="5"/>
      <c r="B7" s="5"/>
      <c r="C7" s="5" t="s">
        <v>24</v>
      </c>
      <c r="D7" s="5" t="s">
        <v>44</v>
      </c>
      <c r="E7" s="5"/>
      <c r="F7" s="5"/>
      <c r="G7" s="5"/>
      <c r="H7" s="5" t="s">
        <v>33</v>
      </c>
      <c r="I7" s="5"/>
      <c r="J7" s="5"/>
    </row>
    <row r="8" ht="15.75" customHeight="1">
      <c r="A8" s="5"/>
      <c r="B8" s="5"/>
      <c r="C8" s="5" t="s">
        <v>24</v>
      </c>
      <c r="D8" s="5" t="s">
        <v>38</v>
      </c>
      <c r="E8" s="5"/>
      <c r="F8" s="5"/>
      <c r="G8" s="5"/>
      <c r="H8" s="5" t="s">
        <v>33</v>
      </c>
      <c r="I8" s="5"/>
      <c r="J8" s="5"/>
    </row>
    <row r="9" ht="15.75" customHeight="1">
      <c r="A9" s="5"/>
      <c r="B9" s="5"/>
      <c r="C9" s="5" t="s">
        <v>24</v>
      </c>
      <c r="D9" s="5" t="s">
        <v>38</v>
      </c>
      <c r="E9" s="5"/>
      <c r="F9" s="5"/>
      <c r="G9" s="5"/>
      <c r="H9" s="5" t="s">
        <v>33</v>
      </c>
      <c r="I9" s="5"/>
      <c r="J9" s="5"/>
    </row>
    <row r="10" ht="15.75" customHeight="1">
      <c r="A10" s="5"/>
      <c r="B10" s="5"/>
      <c r="C10" s="5" t="s">
        <v>24</v>
      </c>
      <c r="D10" s="5" t="s">
        <v>41</v>
      </c>
      <c r="E10" s="5"/>
      <c r="F10" s="5"/>
      <c r="G10" s="5"/>
      <c r="H10" s="5" t="s">
        <v>33</v>
      </c>
      <c r="I10" s="5"/>
      <c r="J10" s="5"/>
    </row>
    <row r="11" ht="15.75" customHeight="1">
      <c r="A11" s="5"/>
      <c r="B11" s="5"/>
      <c r="C11" s="5" t="s">
        <v>24</v>
      </c>
      <c r="D11" s="5" t="s">
        <v>44</v>
      </c>
      <c r="E11" s="5"/>
      <c r="F11" s="5"/>
      <c r="G11" s="5"/>
      <c r="H11" s="5" t="s">
        <v>33</v>
      </c>
      <c r="I11" s="5"/>
      <c r="J11" s="5"/>
    </row>
    <row r="12" ht="15.75" customHeight="1">
      <c r="A12" s="5"/>
      <c r="B12" s="5"/>
      <c r="C12" s="5" t="s">
        <v>24</v>
      </c>
      <c r="D12" s="5" t="s">
        <v>53</v>
      </c>
      <c r="E12" s="5"/>
      <c r="F12" s="5"/>
      <c r="G12" s="5"/>
      <c r="H12" s="5" t="s">
        <v>33</v>
      </c>
      <c r="I12" s="5"/>
      <c r="J12" s="5"/>
    </row>
    <row r="13" ht="15.75" customHeight="1">
      <c r="A13" s="5"/>
      <c r="B13" s="5"/>
      <c r="C13" s="5" t="s">
        <v>24</v>
      </c>
      <c r="D13" s="5" t="s">
        <v>53</v>
      </c>
      <c r="E13" s="5"/>
      <c r="F13" s="5"/>
      <c r="G13" s="5"/>
      <c r="H13" s="5" t="s">
        <v>33</v>
      </c>
      <c r="I13" s="5"/>
      <c r="J13" s="5"/>
    </row>
    <row r="14" ht="15.75" customHeight="1">
      <c r="A14" s="19"/>
      <c r="B14" s="19"/>
      <c r="C14" s="19"/>
      <c r="D14" s="19"/>
      <c r="E14" s="19"/>
      <c r="F14" s="19"/>
      <c r="G14" s="19"/>
      <c r="H14" s="19"/>
      <c r="I14" s="19"/>
      <c r="J14" s="19"/>
    </row>
    <row r="15" ht="15.75" customHeight="1">
      <c r="A15" s="19"/>
      <c r="B15" s="19"/>
      <c r="C15" s="19"/>
      <c r="D15" s="19"/>
      <c r="E15" s="19"/>
      <c r="F15" s="19"/>
      <c r="G15" s="19"/>
      <c r="H15" s="19"/>
      <c r="I15" s="19"/>
      <c r="J15" s="19"/>
    </row>
    <row r="16" ht="15.75" customHeight="1">
      <c r="A16" s="19"/>
      <c r="B16" s="19"/>
      <c r="C16" s="19"/>
      <c r="D16" s="19"/>
      <c r="E16" s="19"/>
      <c r="F16" s="19"/>
      <c r="G16" s="19"/>
      <c r="H16" s="19"/>
      <c r="I16" s="19"/>
      <c r="J16" s="19"/>
    </row>
    <row r="17" ht="15.75" customHeight="1">
      <c r="A17" s="19"/>
      <c r="B17" s="19"/>
      <c r="C17" s="19"/>
      <c r="D17" s="19"/>
      <c r="E17" s="19"/>
      <c r="F17" s="19"/>
      <c r="G17" s="19"/>
      <c r="H17" s="19"/>
      <c r="I17" s="19"/>
      <c r="J17" s="19"/>
    </row>
    <row r="18" ht="15.75" customHeight="1">
      <c r="A18" s="19"/>
      <c r="B18" s="19"/>
      <c r="C18" s="19"/>
      <c r="D18" s="19"/>
      <c r="E18" s="19"/>
      <c r="F18" s="19"/>
      <c r="G18" s="19"/>
      <c r="H18" s="19"/>
      <c r="I18" s="19"/>
      <c r="J18" s="19"/>
    </row>
    <row r="19" ht="15.75" customHeight="1">
      <c r="A19" s="19"/>
      <c r="B19" s="19"/>
      <c r="C19" s="19"/>
      <c r="D19" s="19"/>
      <c r="E19" s="19"/>
      <c r="F19" s="19"/>
      <c r="G19" s="19"/>
      <c r="H19" s="19"/>
      <c r="I19" s="19"/>
      <c r="J19" s="19"/>
    </row>
    <row r="20" ht="15.75" customHeight="1">
      <c r="A20" s="19"/>
      <c r="B20" s="19"/>
      <c r="C20" s="19"/>
      <c r="D20" s="19"/>
      <c r="E20" s="19"/>
      <c r="F20" s="19"/>
      <c r="G20" s="19"/>
      <c r="H20" s="19"/>
      <c r="I20" s="19"/>
      <c r="J20" s="19"/>
    </row>
    <row r="21" ht="15.75" customHeight="1">
      <c r="A21" s="19"/>
      <c r="B21" s="19"/>
      <c r="C21" s="19"/>
      <c r="D21" s="19"/>
      <c r="E21" s="19"/>
      <c r="F21" s="19"/>
      <c r="G21" s="19"/>
      <c r="H21" s="19"/>
      <c r="I21" s="19"/>
      <c r="J21" s="19"/>
    </row>
    <row r="22" ht="15.75" customHeight="1">
      <c r="A22" s="19"/>
      <c r="B22" s="19"/>
      <c r="C22" s="19"/>
      <c r="D22" s="19"/>
      <c r="E22" s="19"/>
      <c r="F22" s="19"/>
      <c r="G22" s="19"/>
      <c r="H22" s="19"/>
      <c r="I22" s="19"/>
      <c r="J22" s="19"/>
    </row>
    <row r="23" ht="15.75" customHeight="1">
      <c r="A23" s="19"/>
      <c r="B23" s="19"/>
      <c r="C23" s="19"/>
      <c r="D23" s="19"/>
      <c r="E23" s="19"/>
      <c r="F23" s="19"/>
      <c r="G23" s="19"/>
      <c r="H23" s="19"/>
      <c r="I23" s="19"/>
      <c r="J23" s="19"/>
    </row>
    <row r="24" ht="15.75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</row>
    <row r="25" ht="15.75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</row>
    <row r="26" ht="15.75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</row>
    <row r="27" ht="15.75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</row>
    <row r="28" ht="15.7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</row>
    <row r="29" ht="15.75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</row>
    <row r="30" ht="15.75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</row>
    <row r="31" ht="15.75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</row>
    <row r="32" ht="15.7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</row>
    <row r="33" ht="15.75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</row>
    <row r="34" ht="15.7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</row>
    <row r="35" ht="15.7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</row>
    <row r="36" ht="15.75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</row>
    <row r="37" ht="15.7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</row>
    <row r="38" ht="15.7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</row>
    <row r="39" ht="15.7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</row>
    <row r="40" ht="15.7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</row>
    <row r="41" ht="15.7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</row>
    <row r="42" ht="15.7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</row>
    <row r="43" ht="15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</row>
    <row r="44" ht="15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</row>
    <row r="45" ht="15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</row>
    <row r="46" ht="15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</row>
    <row r="47" ht="15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</row>
    <row r="48" ht="15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</row>
    <row r="49" ht="15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</row>
    <row r="50" ht="15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</row>
    <row r="51" ht="15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</row>
    <row r="52" ht="15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</row>
    <row r="53" ht="15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</row>
    <row r="54" ht="15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</row>
    <row r="55" ht="15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</row>
    <row r="56" ht="15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</row>
    <row r="57" ht="15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</row>
    <row r="58" ht="15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</row>
    <row r="59" ht="15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</row>
    <row r="60" ht="15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</row>
    <row r="61" ht="15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</row>
    <row r="62" ht="15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</row>
    <row r="63" ht="15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</row>
    <row r="64" ht="15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</row>
    <row r="65" ht="15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</row>
    <row r="66" ht="15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</row>
    <row r="67" ht="15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</row>
    <row r="68" ht="15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</row>
    <row r="69" ht="15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</row>
    <row r="70" ht="15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</row>
    <row r="71" ht="15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</row>
    <row r="72" ht="15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</row>
    <row r="73" ht="15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</row>
    <row r="74" ht="15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</row>
    <row r="75" ht="15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</row>
    <row r="76" ht="15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</row>
    <row r="77" ht="15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</row>
    <row r="78" ht="15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</row>
    <row r="79" ht="15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</row>
    <row r="80" ht="15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</row>
    <row r="81" ht="15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</row>
    <row r="82" ht="15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</row>
    <row r="83" ht="15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</row>
    <row r="84" ht="15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</row>
    <row r="85" ht="15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</row>
    <row r="86" ht="15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</row>
    <row r="87" ht="15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</row>
    <row r="88" ht="15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</row>
    <row r="89" ht="15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</row>
    <row r="90" ht="15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</row>
    <row r="91" ht="15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</row>
    <row r="92" ht="15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</row>
    <row r="93" ht="15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</row>
    <row r="94" ht="15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</row>
    <row r="95" ht="15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</row>
    <row r="96" ht="15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</row>
    <row r="97" ht="15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</row>
    <row r="98" ht="15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</row>
    <row r="99" ht="15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</row>
    <row r="100" ht="15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</row>
    <row r="101" ht="15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</row>
    <row r="102" ht="15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</row>
    <row r="103" ht="15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</row>
    <row r="104" ht="15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</row>
    <row r="105" ht="15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</row>
    <row r="106" ht="15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</row>
    <row r="107" ht="15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</row>
    <row r="108" ht="15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</row>
    <row r="109" ht="15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</row>
    <row r="110" ht="15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</row>
    <row r="111" ht="15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</row>
    <row r="112" ht="15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</row>
    <row r="113" ht="15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</row>
    <row r="114" ht="15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</row>
    <row r="115" ht="15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</row>
    <row r="116" ht="15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</row>
    <row r="117" ht="15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</row>
    <row r="118" ht="15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</row>
    <row r="119" ht="15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</row>
    <row r="120" ht="15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</row>
    <row r="121" ht="15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</row>
    <row r="122" ht="15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</row>
    <row r="123" ht="15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</row>
    <row r="124" ht="15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</row>
    <row r="125" ht="15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</row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list" allowBlank="1" showErrorMessage="1" sqref="C2:C13">
      <formula1>"Review,UT,IT,ST,AT"</formula1>
    </dataValidation>
    <dataValidation type="list" allowBlank="1" showErrorMessage="1" sqref="D2:D13">
      <formula1>"Software Package,Report1 (Intro),Report2 (Plan),Report3 (SRS),Report4 (SDS),Report5 (Test),Report6 (Guides),Report7 (Final)"</formula1>
    </dataValidation>
    <dataValidation type="list" allowBlank="1" showErrorMessage="1" sqref="H2:H13">
      <formula1>"Pending,Assigned,Fixing,Fixed,Closed,Cancelled"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